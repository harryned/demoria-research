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180" windowHeight="18180" tabRatio="600" firstSheet="0" activeTab="0" autoFilterDateGrouping="1"/>
  </bookViews>
  <sheets>
    <sheet xmlns:r="http://schemas.openxmlformats.org/officeDocument/2006/relationships" name="Births" sheetId="1" state="visible" r:id="rId1"/>
    <sheet xmlns:r="http://schemas.openxmlformats.org/officeDocument/2006/relationships" name="Australia" sheetId="2" state="visible" r:id="rId2"/>
    <sheet xmlns:r="http://schemas.openxmlformats.org/officeDocument/2006/relationships" name="How to use" sheetId="3" state="visible" r:id="rId3"/>
    <sheet xmlns:r="http://schemas.openxmlformats.org/officeDocument/2006/relationships" name="Sheet1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#\ ###"/>
    <numFmt numFmtId="165" formatCode="#\ ###\ ###;&quot;    △&quot;* #\ ###\ ###"/>
    <numFmt numFmtId="166" formatCode="###,##0"/>
    <numFmt numFmtId="167" formatCode="_-* #,##0_-;\-* #,##0_-;_-* &quot;-&quot;??_-;_-@_-"/>
    <numFmt numFmtId="168" formatCode="_-* #,##0.00_-;\-* #,##0.00_-;_-* &quot;-&quot;??_-;_-@_-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0C1A33"/>
      <sz val="10"/>
    </font>
    <font>
      <name val="Calibri"/>
      <family val="2"/>
      <color rgb="FF888888"/>
      <sz val="9"/>
    </font>
    <font>
      <name val="Calibri"/>
      <family val="2"/>
      <b val="1"/>
      <sz val="10"/>
    </font>
    <font>
      <name val="Calibri"/>
      <family val="2"/>
      <color rgb="FF666666"/>
      <sz val="9"/>
    </font>
    <font>
      <name val="Calibri"/>
      <family val="2"/>
      <b val="1"/>
      <color rgb="FFE8B84B"/>
      <sz val="16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b val="1"/>
      <color rgb="FF0C1A33"/>
      <sz val="12"/>
    </font>
    <font>
      <name val="メイリオ"/>
      <charset val="128"/>
      <family val="2"/>
      <color rgb="FF333333"/>
      <sz val="14.3"/>
    </font>
    <font>
      <name val="Calibri"/>
      <family val="2"/>
      <color theme="10"/>
      <sz val="11"/>
      <u val="single"/>
      <scheme val="minor"/>
    </font>
    <font>
      <name val="新細明體"/>
      <charset val="136"/>
      <family val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 tint="0.0499893185216834"/>
      <sz val="9"/>
      <scheme val="minor"/>
    </font>
    <font>
      <name val="Calibri"/>
      <family val="2"/>
      <color rgb="FF000000"/>
      <sz val="11"/>
      <scheme val="minor"/>
    </font>
    <font>
      <name val="Arial"/>
      <family val="2"/>
      <color theme="1"/>
      <sz val="10"/>
    </font>
    <font>
      <name val="Roboto"/>
      <charset val="204"/>
      <color theme="1"/>
      <sz val="8"/>
    </font>
    <font>
      <name val="Roboto"/>
      <color theme="1"/>
      <sz val="8"/>
    </font>
    <font>
      <name val="Inherit"/>
      <b val="1"/>
      <color rgb="FF000000"/>
      <sz val="11"/>
    </font>
    <font>
      <name val="Inherit"/>
      <color rgb="FF333333"/>
      <sz val="16"/>
    </font>
    <font>
      <name val="Inherit"/>
      <color rgb="FF333333"/>
      <sz val="16"/>
    </font>
    <font>
      <name val="Inherit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666666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0C1A33"/>
      </patternFill>
    </fill>
    <fill>
      <patternFill patternType="solid">
        <fgColor rgb="FF3A5A8A"/>
      </patternFill>
    </fill>
    <fill>
      <patternFill patternType="solid">
        <fgColor rgb="FFB58420"/>
      </patternFill>
    </fill>
    <fill>
      <patternFill patternType="solid">
        <fgColor rgb="FF6A6A4A"/>
      </patternFill>
    </fill>
    <fill>
      <patternFill patternType="solid">
        <fgColor rgb="FFE8B84B"/>
      </patternFill>
    </fill>
    <fill>
      <patternFill patternType="solid">
        <fgColor rgb="FFE8EEF7"/>
      </patternFill>
    </fill>
    <fill>
      <patternFill patternType="solid">
        <fgColor rgb="FFFDF2D6"/>
      </patternFill>
    </fill>
    <fill>
      <patternFill patternType="solid">
        <fgColor rgb="FFEAE3CF"/>
      </patternFill>
    </fill>
    <fill>
      <patternFill patternType="solid">
        <fgColor rgb="FFE8EEF7"/>
        <bgColor indexed="64"/>
      </patternFill>
    </fill>
    <fill>
      <patternFill patternType="solid">
        <fgColor rgb="FFE8EEF7"/>
        <bgColor rgb="FF000000"/>
      </patternFill>
    </fill>
    <fill>
      <patternFill patternType="solid">
        <fgColor rgb="FFEAE3CF"/>
        <bgColor indexed="64"/>
      </patternFill>
    </fill>
    <fill>
      <patternFill patternType="solid">
        <fgColor rgb="FFFDF2D6"/>
        <bgColor rgb="FF000000"/>
      </patternFill>
    </fill>
  </fills>
  <borders count="7">
    <border>
      <left/>
      <right/>
      <top/>
      <bottom/>
      <diagonal/>
    </border>
    <border>
      <left style="thin">
        <color rgb="FFCFD6E0"/>
      </left>
      <right style="thin">
        <color rgb="FFCFD6E0"/>
      </right>
      <top style="thin">
        <color rgb="FFCFD6E0"/>
      </top>
      <bottom style="thin">
        <color rgb="FFCFD6E0"/>
      </bottom>
      <diagonal/>
    </border>
    <border>
      <left style="thin">
        <color rgb="FFCFD6E0"/>
      </left>
      <right/>
      <top style="thin">
        <color rgb="FFCFD6E0"/>
      </top>
      <bottom style="thin">
        <color rgb="FFCFD6E0"/>
      </bottom>
      <diagonal/>
    </border>
    <border>
      <left/>
      <right style="thin">
        <color rgb="FFCFD6E0"/>
      </right>
      <top style="thin">
        <color rgb="FFCFD6E0"/>
      </top>
      <bottom style="thin">
        <color rgb="FFCFD6E0"/>
      </bottom>
      <diagonal/>
    </border>
    <border>
      <left style="thin">
        <color rgb="FFCFD6E0"/>
      </left>
      <right style="thin">
        <color rgb="FFCFD6E0"/>
      </right>
      <top style="thin">
        <color rgb="FFCFD6E0"/>
      </top>
      <bottom/>
      <diagonal/>
    </border>
    <border>
      <left/>
      <right/>
      <top/>
      <bottom style="thin">
        <color rgb="FFCFD6E0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15" fillId="0" borderId="0"/>
    <xf numFmtId="0" fontId="13" fillId="0" borderId="0"/>
    <xf numFmtId="0" fontId="14" fillId="0" borderId="0"/>
    <xf numFmtId="43" fontId="15" fillId="0" borderId="0"/>
    <xf numFmtId="168" fontId="15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0" fillId="7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12" fillId="0" borderId="0" pivotButton="0" quotePrefix="0" xfId="0"/>
    <xf numFmtId="0" fontId="7" fillId="0" borderId="2" pivotButton="0" quotePrefix="0" xfId="0"/>
    <xf numFmtId="0" fontId="13" fillId="0" borderId="1" pivotButton="0" quotePrefix="0" xfId="1"/>
    <xf numFmtId="0" fontId="13" fillId="0" borderId="0" pivotButton="0" quotePrefix="0" xfId="1"/>
    <xf numFmtId="3" fontId="0" fillId="7" borderId="4" applyAlignment="1" pivotButton="0" quotePrefix="0" xfId="0">
      <alignment horizontal="center" vertical="center"/>
    </xf>
    <xf numFmtId="3" fontId="16" fillId="10" borderId="0" applyAlignment="1" pivotButton="0" quotePrefix="0" xfId="0">
      <alignment horizontal="center" vertical="center"/>
    </xf>
    <xf numFmtId="3" fontId="16" fillId="8" borderId="1" applyAlignment="1" pivotButton="0" quotePrefix="0" xfId="0">
      <alignment horizontal="center" vertical="center"/>
    </xf>
    <xf numFmtId="3" fontId="16" fillId="8" borderId="3" applyAlignment="1" pivotButton="0" quotePrefix="0" xfId="0">
      <alignment horizontal="center" vertical="center"/>
    </xf>
    <xf numFmtId="164" fontId="16" fillId="0" borderId="0" applyAlignment="1" pivotButton="0" quotePrefix="0" xfId="2">
      <alignment horizontal="center" vertical="center"/>
    </xf>
    <xf numFmtId="0" fontId="16" fillId="0" borderId="0" applyAlignment="1" pivotButton="0" quotePrefix="0" xfId="0">
      <alignment horizontal="center" vertical="center"/>
    </xf>
    <xf numFmtId="165" fontId="16" fillId="10" borderId="0" applyAlignment="1" pivotButton="0" quotePrefix="0" xfId="0">
      <alignment horizontal="center" vertical="center"/>
    </xf>
    <xf numFmtId="164" fontId="16" fillId="10" borderId="0" applyAlignment="1" pivotButton="0" quotePrefix="0" xfId="2">
      <alignment horizontal="center" vertical="center"/>
    </xf>
    <xf numFmtId="0" fontId="16" fillId="10" borderId="0" applyAlignment="1" pivotButton="0" quotePrefix="0" xfId="0">
      <alignment horizontal="center" vertical="center"/>
    </xf>
    <xf numFmtId="166" fontId="17" fillId="10" borderId="0" applyAlignment="1" pivotButton="0" quotePrefix="0" xfId="0">
      <alignment horizontal="center" vertical="center"/>
    </xf>
    <xf numFmtId="3" fontId="18" fillId="11" borderId="1" applyAlignment="1" pivotButton="0" quotePrefix="0" xfId="0">
      <alignment horizontal="center" vertical="center"/>
    </xf>
    <xf numFmtId="167" fontId="19" fillId="0" borderId="0" pivotButton="0" quotePrefix="0" xfId="3"/>
    <xf numFmtId="167" fontId="19" fillId="0" borderId="0" pivotButton="0" quotePrefix="0" xfId="4"/>
    <xf numFmtId="0" fontId="7" fillId="0" borderId="4" pivotButton="0" quotePrefix="0" xfId="0"/>
    <xf numFmtId="0" fontId="7" fillId="0" borderId="0" pivotButton="0" quotePrefix="0" xfId="0"/>
    <xf numFmtId="3" fontId="0" fillId="12" borderId="1" applyAlignment="1" pivotButton="0" quotePrefix="0" xfId="0">
      <alignment horizontal="center" vertical="center"/>
    </xf>
    <xf numFmtId="3" fontId="20" fillId="0" borderId="0" applyAlignment="1" pivotButton="0" quotePrefix="0" xfId="0">
      <alignment horizontal="right" wrapText="1"/>
    </xf>
    <xf numFmtId="3" fontId="20" fillId="0" borderId="0" pivotButton="0" quotePrefix="0" xfId="0"/>
    <xf numFmtId="3" fontId="20" fillId="0" borderId="0" applyAlignment="1" pivotButton="0" quotePrefix="0" xfId="0">
      <alignment horizontal="right"/>
    </xf>
    <xf numFmtId="3" fontId="20" fillId="0" borderId="0" applyAlignment="1" pivotButton="0" quotePrefix="0" xfId="0">
      <alignment vertical="center" wrapText="1"/>
    </xf>
    <xf numFmtId="3" fontId="20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right"/>
    </xf>
    <xf numFmtId="0" fontId="4" fillId="6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25" fillId="0" borderId="0" pivotButton="0" quotePrefix="0" xfId="0"/>
    <xf numFmtId="3" fontId="7" fillId="0" borderId="1" pivotButton="0" quotePrefix="0" xfId="0"/>
    <xf numFmtId="0" fontId="26" fillId="0" borderId="1" pivotButton="0" quotePrefix="0" xfId="0"/>
    <xf numFmtId="3" fontId="18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27" fillId="0" borderId="1" pivotButton="0" quotePrefix="0" xfId="0"/>
    <xf numFmtId="0" fontId="0" fillId="0" borderId="1" applyAlignment="1" pivotButton="0" quotePrefix="0" xfId="0">
      <alignment horizontal="center"/>
    </xf>
    <xf numFmtId="17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6" pivotButton="0" quotePrefix="0" xfId="0"/>
    <xf numFmtId="10" fontId="0" fillId="0" borderId="6" pivotButton="0" quotePrefix="0" xfId="0"/>
    <xf numFmtId="1" fontId="0" fillId="0" borderId="0" pivotButton="0" quotePrefix="0" xfId="0"/>
    <xf numFmtId="10" fontId="2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0" borderId="1" pivotButton="0" quotePrefix="0" xfId="0"/>
    <xf numFmtId="0" fontId="0" fillId="12" borderId="0" pivotButton="0" quotePrefix="0" xfId="0"/>
    <xf numFmtId="0" fontId="0" fillId="0" borderId="5" pivotButton="0" quotePrefix="0" xfId="0"/>
  </cellXfs>
  <cellStyles count="5">
    <cellStyle name="Normal" xfId="0" builtinId="0"/>
    <cellStyle name="Hyperlink" xfId="1" builtinId="8"/>
    <cellStyle name="一般 3" xfId="2"/>
    <cellStyle name="Comma" xfId="3" builtinId="3"/>
    <cellStyle name="Comma 2 3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ps.mofe.gov.bn/vital-statictics/" TargetMode="External" Id="rId1"/><Relationship Type="http://schemas.openxmlformats.org/officeDocument/2006/relationships/hyperlink" Target="https://stat.uz/en/" TargetMode="External" Id="rId2"/><Relationship Type="http://schemas.openxmlformats.org/officeDocument/2006/relationships/hyperlink" Target="https://ec.europa.eu/eurostat/databrowser/view/demo_fmonth/default/table?lang=en" TargetMode="External" Id="rId3"/><Relationship Type="http://schemas.openxmlformats.org/officeDocument/2006/relationships/hyperlink" Target="https://statbel.fgov.be/en/themes/population/population-movement/births" TargetMode="External" Id="rId4"/><Relationship Type="http://schemas.openxmlformats.org/officeDocument/2006/relationships/hyperlink" Target="https://ec.europa.eu/eurostat/databrowser/view/demo_fmonth/default/table?lang=en" TargetMode="External" Id="rId5"/><Relationship Type="http://schemas.openxmlformats.org/officeDocument/2006/relationships/hyperlink" Target="https://m.statbank.dk/Data" TargetMode="External" Id="rId6"/><Relationship Type="http://schemas.openxmlformats.org/officeDocument/2006/relationships/hyperlink" Target="https://genesis.destatis.de/datenbank/online/statistic/12612/table/12612-0002" TargetMode="External" Id="rId7"/><Relationship Type="http://schemas.openxmlformats.org/officeDocument/2006/relationships/hyperlink" Target="https://www.statistics.gr/en/home" TargetMode="External" Id="rId8"/><Relationship Type="http://schemas.openxmlformats.org/officeDocument/2006/relationships/hyperlink" Target="https://www.statice.is/statistics/population/births-and-deaths/births/" TargetMode="External" Id="rId9"/><Relationship Type="http://schemas.openxmlformats.org/officeDocument/2006/relationships/hyperlink" Target="https://www.cso.ie/en/releasesandpublications/ep/p-vs/vitalstatisticsfourthquarter2025/data/" TargetMode="External" Id="rId10"/><Relationship Type="http://schemas.openxmlformats.org/officeDocument/2006/relationships/hyperlink" Target="https://ec.europa.eu/eurostat/databrowser/view/demo_fmonth/default/table?lang=en" TargetMode="External" Id="rId11"/><Relationship Type="http://schemas.openxmlformats.org/officeDocument/2006/relationships/hyperlink" Target="https://ec.europa.eu/eurostat/databrowser/view/demo_fmonth/default/table?lang=en" TargetMode="External" Id="rId12"/><Relationship Type="http://schemas.openxmlformats.org/officeDocument/2006/relationships/hyperlink" Target="https://www.ssb.no/en/statbank/table/05531" TargetMode="External" Id="rId13"/><Relationship Type="http://schemas.openxmlformats.org/officeDocument/2006/relationships/hyperlink" Target="https://www.ine.pt/ngt_server/attachfileu.jsp?att_display=n&amp;att_download=y&amp;look_parentBoui=793129631&amp;utm_source=chatgpt.com" TargetMode="External" Id="rId14"/><Relationship Type="http://schemas.openxmlformats.org/officeDocument/2006/relationships/hyperlink" Target="https://www.bfs.admin.ch/bfs/en/home/statistics/population.gnpdetail.2026-0145.html" TargetMode="External" Id="rId15"/><Relationship Type="http://schemas.openxmlformats.org/officeDocument/2006/relationships/hyperlink" Target="https://ec.europa.eu/eurostat/databrowser/view/demo_fmonth/default/table?lang=en" TargetMode="External" Id="rId16"/><Relationship Type="http://schemas.openxmlformats.org/officeDocument/2006/relationships/hyperlink" Target="https://www.google.com/url?sa=t&amp;source=web&amp;rct=j&amp;opi=89978449&amp;url=https://imsee.mc/en/content/download/304889/file/2025%2520Demography%2520Observatory.pdf%3FinLanguage%3Deng-GB%26version%3D3&amp;ved=2ahUKEwjwjYfH2vuUAxWTh68BHXYFBTkQFnoECBoQAQ&amp;usg=AOvVaw2zfoy-gd8M8GSDsHDc3ZML" TargetMode="External" Id="rId17"/><Relationship Type="http://schemas.openxmlformats.org/officeDocument/2006/relationships/hyperlink" Target="https://www.instat.gov.al/en/themes/demography-and-social-indicators/births-deaths-and-marriages/" TargetMode="External" Id="rId18"/><Relationship Type="http://schemas.openxmlformats.org/officeDocument/2006/relationships/hyperlink" Target="https://dataportal.belstat.gov.by/osids/indicator-info/10101200001" TargetMode="External" Id="rId19"/><Relationship Type="http://schemas.openxmlformats.org/officeDocument/2006/relationships/hyperlink" Target="https://ec.europa.eu/eurostat/databrowser/view/demo_fmonth/default/table?lang=en" TargetMode="External" Id="rId20"/><Relationship Type="http://schemas.openxmlformats.org/officeDocument/2006/relationships/hyperlink" Target="https://www.nsi.bg/en/statistical-data/216/689" TargetMode="External" Id="rId21"/><Relationship Type="http://schemas.openxmlformats.org/officeDocument/2006/relationships/hyperlink" Target="https://ec.europa.eu/eurostat/databrowser/view/demo_fmonth/default/table?lang=en" TargetMode="External" Id="rId22"/><Relationship Type="http://schemas.openxmlformats.org/officeDocument/2006/relationships/hyperlink" Target="https://csu.gov.cz/births?pocet=10&amp;start=0&amp;podskupiny=133&amp;razeni=-datumVydani" TargetMode="External" Id="rId23"/><Relationship Type="http://schemas.openxmlformats.org/officeDocument/2006/relationships/hyperlink" Target="https://andmed.stat.ee/en/stat/rahvastik__rahvastikusundmused__sunnid/RV061/table/tableViewLayout2" TargetMode="External" Id="rId24"/><Relationship Type="http://schemas.openxmlformats.org/officeDocument/2006/relationships/hyperlink" Target="https://www.ksh.hu/stadat_files/nep/en/nep0064.html" TargetMode="External" Id="rId25"/><Relationship Type="http://schemas.openxmlformats.org/officeDocument/2006/relationships/hyperlink" Target="https://askdata.rks-gov.net/pxweb/en/ASKdata/ASKdata__Population__Births%20and%20deaths__Births__Monthly%20indicators/tab02.px/table/tableViewLayout1/" TargetMode="External" Id="rId26"/><Relationship Type="http://schemas.openxmlformats.org/officeDocument/2006/relationships/hyperlink" Target="https://data.stat.gov.lv/pxweb/en/OSP_PUB/START__POP__ID__IDS/IDS010m/table/tableViewLayout1/" TargetMode="External" Id="rId27"/><Relationship Type="http://schemas.openxmlformats.org/officeDocument/2006/relationships/hyperlink" Target="https://osp.stat.gov.lt/en_GB/statistiniu-rodikliu-analize" TargetMode="External" Id="rId28"/><Relationship Type="http://schemas.openxmlformats.org/officeDocument/2006/relationships/hyperlink" Target="https://ec.europa.eu/eurostat/databrowser/view/demo_fmonth/default/table?lang=en" TargetMode="External" Id="rId29"/><Relationship Type="http://schemas.openxmlformats.org/officeDocument/2006/relationships/hyperlink" Target="https://ec.europa.eu/eurostat/databrowser/view/demo_fmonth/default/table?lang=en" TargetMode="External" Id="rId30"/><Relationship Type="http://schemas.openxmlformats.org/officeDocument/2006/relationships/hyperlink" Target="https://stat.gov.pl/en/topics/other-studies/informations-on-socio-economic-situation/statistical-bulletin-no-42026,4,186.html" TargetMode="External" Id="rId31"/><Relationship Type="http://schemas.openxmlformats.org/officeDocument/2006/relationships/hyperlink" Target="https://ec.europa.eu/eurostat/databrowser/view/demo_fmonth/default/table?lang=en" TargetMode="External" Id="rId32"/><Relationship Type="http://schemas.openxmlformats.org/officeDocument/2006/relationships/hyperlink" Target="https://united24media.com/latest-news/russia-hits-two-century-low-in-birth-rates-despite-kremlin-push-for-large-families-18174" TargetMode="External" Id="rId33"/><Relationship Type="http://schemas.openxmlformats.org/officeDocument/2006/relationships/hyperlink" Target="https://publikacije.stat.gov.rs/G2026/HtmlE/G20261133.html" TargetMode="External" Id="rId34"/><Relationship Type="http://schemas.openxmlformats.org/officeDocument/2006/relationships/hyperlink" Target="https://datacube.statistics.sk/" TargetMode="External" Id="rId35"/><Relationship Type="http://schemas.openxmlformats.org/officeDocument/2006/relationships/hyperlink" Target="https://www.stat.si/StatWeb/en/News/Index/14395" TargetMode="External" Id="rId36"/><Relationship Type="http://schemas.openxmlformats.org/officeDocument/2006/relationships/hyperlink" Target="https://opendatabot.ua/analytics" TargetMode="External" Id="rId37"/><Relationship Type="http://schemas.openxmlformats.org/officeDocument/2006/relationships/hyperlink" Target="https://www150.statcan.gc.ca/t1/tbl1/en/tv.action?pid=1710001601" TargetMode="External" Id="rId38"/><Relationship Type="http://schemas.openxmlformats.org/officeDocument/2006/relationships/hyperlink" Target="https://www.cdc.gov/" TargetMode="External" Id="rId39"/><Relationship Type="http://schemas.openxmlformats.org/officeDocument/2006/relationships/hyperlink" Target="https://www.gov.bm/digest-statistics" TargetMode="External" Id="rId40"/><Relationship Type="http://schemas.openxmlformats.org/officeDocument/2006/relationships/hyperlink" Target="https://stat.gl/publ/en/BE/202601/contents/Population%20estimates.htm" TargetMode="External" Id="rId41"/><Relationship Type="http://schemas.openxmlformats.org/officeDocument/2006/relationships/hyperlink" Target="https://estadisticas.renaper.gob.ar/app_myn/" TargetMode="External" Id="rId42"/><Relationship Type="http://schemas.openxmlformats.org/officeDocument/2006/relationships/hyperlink" Target="https://www.ine.gob.cl/press-room/news/2025/05/02/in-january-2025-the-number-of-births-and-marriages-decreased-year-on-year" TargetMode="External" Id="rId43"/><Relationship Type="http://schemas.openxmlformats.org/officeDocument/2006/relationships/hyperlink" Target="https://www.dane.gov.co/index.php/en/statistics-by-topic-1/population-and-demography/births-and-deaths" TargetMode="External" Id="rId44"/><Relationship Type="http://schemas.openxmlformats.org/officeDocument/2006/relationships/hyperlink" Target="https://www.subrayado.com.uy/hubo-28903-nacidos-vivos-2025-cifras-actuales-son-similares-las-fines-siglo-xix-n996745" TargetMode="External" Id="rId45"/><Relationship Type="http://schemas.openxmlformats.org/officeDocument/2006/relationships/hyperlink" Target="https://armstat.am/en/?nid=12&amp;id=11014" TargetMode="External" Id="rId46"/><Relationship Type="http://schemas.openxmlformats.org/officeDocument/2006/relationships/hyperlink" Target="https://president.az/en/pages/view/azerbaijan/population" TargetMode="External" Id="rId47"/><Relationship Type="http://schemas.openxmlformats.org/officeDocument/2006/relationships/hyperlink" Target="https://www.geostat.ge/en/modules/categories/319/births" TargetMode="External" Id="rId48"/><Relationship Type="http://schemas.openxmlformats.org/officeDocument/2006/relationships/hyperlink" Target="https://ec.europa.eu/eurostat/databrowser/view/demo_fmonth/default/table?lang=en" TargetMode="External" Id="rId49"/><Relationship Type="http://schemas.openxmlformats.org/officeDocument/2006/relationships/hyperlink" Target="https://www.abs.gov.au/statistics/people/population/births-australia/2024" TargetMode="External" Id="rId50"/><Relationship Type="http://schemas.openxmlformats.org/officeDocument/2006/relationships/hyperlink" Target="https://www.stats.govt.nz/information-releases/births-and-deaths-year-ended-march-2026/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1"/>
  <sheetViews>
    <sheetView tabSelected="1" workbookViewId="0">
      <pane xSplit="3" ySplit="2" topLeftCell="AP8" activePane="bottomRight" state="frozen"/>
      <selection pane="topRight" activeCell="D1" sqref="D1"/>
      <selection pane="bottomLeft" activeCell="A3" sqref="A3"/>
      <selection pane="bottomRight" activeCell="AT21" sqref="AT21"/>
    </sheetView>
  </sheetViews>
  <sheetFormatPr baseColWidth="10" defaultColWidth="8.83203125" defaultRowHeight="15"/>
  <cols>
    <col width="6" customWidth="1" style="59" min="1" max="1"/>
    <col width="20" customWidth="1" style="59" min="2" max="2"/>
    <col width="24" customWidth="1" style="59" min="3" max="3"/>
    <col width="8.6640625" bestFit="1" customWidth="1" style="59" min="4" max="4"/>
    <col width="7.6640625" bestFit="1" customWidth="1" style="59" min="5" max="5"/>
    <col width="8.6640625" bestFit="1" customWidth="1" style="59" min="6" max="6"/>
    <col width="10.33203125" bestFit="1" customWidth="1" style="59" min="7" max="9"/>
    <col width="8.6640625" bestFit="1" customWidth="1" style="59" min="10" max="12"/>
    <col width="10.33203125" bestFit="1" customWidth="1" style="59" min="13" max="15"/>
    <col width="8.6640625" bestFit="1" customWidth="1" style="59" min="16" max="16"/>
    <col width="7.6640625" bestFit="1" customWidth="1" style="59" min="17" max="18"/>
    <col width="13.1640625" customWidth="1" style="59" min="19" max="27"/>
    <col width="6.6640625" bestFit="1" customWidth="1" style="59" min="28" max="32"/>
    <col width="6.6640625" customWidth="1" style="59" min="33" max="39"/>
    <col width="14.5" bestFit="1" customWidth="1" style="59" min="40" max="43"/>
    <col width="40" customWidth="1" style="59" min="44" max="44"/>
    <col width="24" customWidth="1" style="59" min="45" max="45"/>
    <col width="15" customWidth="1" style="59" min="46" max="46"/>
  </cols>
  <sheetData>
    <row r="1" ht="18" customHeight="1" s="59">
      <c r="A1" s="58" t="inlineStr">
        <is>
          <t>COUNTRY</t>
        </is>
      </c>
      <c r="D1" s="61" t="inlineStr">
        <is>
          <t>MONTHLY BIRTHS 2024</t>
        </is>
      </c>
      <c r="P1" s="62" t="inlineStr">
        <is>
          <t>MONTHLY BIRTHS 2025</t>
        </is>
      </c>
      <c r="AB1" s="60" t="inlineStr">
        <is>
          <t>MONTHLY BIRTHS 2026</t>
        </is>
      </c>
      <c r="AN1" s="63" t="inlineStr">
        <is>
          <t>ANNUAL FALLBACK</t>
        </is>
      </c>
      <c r="AO1" s="67" t="n"/>
      <c r="AP1" s="67" t="n"/>
      <c r="AQ1" s="67" t="n"/>
      <c r="AR1" s="58" t="inlineStr">
        <is>
          <t>PROVENANCE</t>
        </is>
      </c>
      <c r="AT1" s="58" t="inlineStr">
        <is>
          <t>DESIGNATION</t>
        </is>
      </c>
    </row>
    <row r="2" ht="22" customHeight="1" s="59">
      <c r="A2" s="1" t="inlineStr">
        <is>
          <t>ISO</t>
        </is>
      </c>
      <c r="B2" s="1" t="inlineStr">
        <is>
          <t>Country</t>
        </is>
      </c>
      <c r="C2" s="1" t="inlineStr">
        <is>
          <t>Region</t>
        </is>
      </c>
      <c r="D2" s="2" t="inlineStr">
        <is>
          <t>Jan</t>
        </is>
      </c>
      <c r="E2" s="2" t="inlineStr">
        <is>
          <t>Feb</t>
        </is>
      </c>
      <c r="F2" s="2" t="inlineStr">
        <is>
          <t>Mar</t>
        </is>
      </c>
      <c r="G2" s="2" t="inlineStr">
        <is>
          <t>Apr</t>
        </is>
      </c>
      <c r="H2" s="2" t="inlineStr">
        <is>
          <t>May</t>
        </is>
      </c>
      <c r="I2" s="2" t="inlineStr">
        <is>
          <t>Jun</t>
        </is>
      </c>
      <c r="J2" s="2" t="inlineStr">
        <is>
          <t>Jul</t>
        </is>
      </c>
      <c r="K2" s="2" t="inlineStr">
        <is>
          <t>Aug</t>
        </is>
      </c>
      <c r="L2" s="2" t="inlineStr">
        <is>
          <t>Sep</t>
        </is>
      </c>
      <c r="M2" s="2" t="inlineStr">
        <is>
          <t>Oct</t>
        </is>
      </c>
      <c r="N2" s="2" t="inlineStr">
        <is>
          <t>Nov</t>
        </is>
      </c>
      <c r="O2" s="2" t="inlineStr">
        <is>
          <t>Dec</t>
        </is>
      </c>
      <c r="P2" s="2" t="inlineStr">
        <is>
          <t>Jan</t>
        </is>
      </c>
      <c r="Q2" s="2" t="inlineStr">
        <is>
          <t>Feb</t>
        </is>
      </c>
      <c r="R2" s="2" t="inlineStr">
        <is>
          <t>Mar</t>
        </is>
      </c>
      <c r="S2" s="2" t="inlineStr">
        <is>
          <t>Apr</t>
        </is>
      </c>
      <c r="T2" s="2" t="inlineStr">
        <is>
          <t>May</t>
        </is>
      </c>
      <c r="U2" s="2" t="inlineStr">
        <is>
          <t>Jun</t>
        </is>
      </c>
      <c r="V2" s="2" t="inlineStr">
        <is>
          <t>Jul</t>
        </is>
      </c>
      <c r="W2" s="2" t="inlineStr">
        <is>
          <t>Aug</t>
        </is>
      </c>
      <c r="X2" s="2" t="inlineStr">
        <is>
          <t>Sep</t>
        </is>
      </c>
      <c r="Y2" s="2" t="inlineStr">
        <is>
          <t>Oct</t>
        </is>
      </c>
      <c r="Z2" s="2" t="inlineStr">
        <is>
          <t>Nov</t>
        </is>
      </c>
      <c r="AA2" s="2" t="inlineStr">
        <is>
          <t>Dec</t>
        </is>
      </c>
      <c r="AB2" s="2" t="inlineStr">
        <is>
          <t>Jan</t>
        </is>
      </c>
      <c r="AC2" s="2" t="inlineStr">
        <is>
          <t>Feb</t>
        </is>
      </c>
      <c r="AD2" s="2" t="inlineStr">
        <is>
          <t>Mar</t>
        </is>
      </c>
      <c r="AE2" s="2" t="inlineStr">
        <is>
          <t>Apr</t>
        </is>
      </c>
      <c r="AF2" s="2" t="inlineStr">
        <is>
          <t>May</t>
        </is>
      </c>
      <c r="AG2" s="2" t="inlineStr">
        <is>
          <t>Jun</t>
        </is>
      </c>
      <c r="AH2" s="2" t="inlineStr">
        <is>
          <t>Jul</t>
        </is>
      </c>
      <c r="AI2" s="2" t="inlineStr">
        <is>
          <t>Aug</t>
        </is>
      </c>
      <c r="AJ2" s="2" t="inlineStr">
        <is>
          <t>Sep</t>
        </is>
      </c>
      <c r="AK2" s="2" t="inlineStr">
        <is>
          <t>Oct</t>
        </is>
      </c>
      <c r="AL2" s="2" t="inlineStr">
        <is>
          <t>Nov</t>
        </is>
      </c>
      <c r="AM2" s="2" t="inlineStr">
        <is>
          <t>Dec</t>
        </is>
      </c>
      <c r="AN2" s="2" t="inlineStr">
        <is>
          <t>FY2023 (annual only)</t>
        </is>
      </c>
      <c r="AO2" s="2" t="inlineStr">
        <is>
          <t>FY2024 (annual only)</t>
        </is>
      </c>
      <c r="AP2" s="2" t="inlineStr">
        <is>
          <t>FY2025 (annual only)</t>
        </is>
      </c>
      <c r="AQ2" s="2" t="inlineStr">
        <is>
          <t>FY2026 (annual only)</t>
        </is>
      </c>
      <c r="AR2" s="1" t="inlineStr">
        <is>
          <t>Source URL</t>
        </is>
      </c>
      <c r="AS2" s="1" t="inlineStr">
        <is>
          <t>Notes</t>
        </is>
      </c>
      <c r="AT2" s="1" t="inlineStr">
        <is>
          <t>Source category</t>
        </is>
      </c>
    </row>
    <row r="3">
      <c r="A3" s="40" t="inlineStr">
        <is>
          <t>EAST ASIA</t>
        </is>
      </c>
    </row>
    <row r="4">
      <c r="A4" s="3" t="inlineStr">
        <is>
          <t>CHN</t>
        </is>
      </c>
      <c r="B4" s="4" t="inlineStr">
        <is>
          <t>China</t>
        </is>
      </c>
      <c r="C4" s="5" t="inlineStr">
        <is>
          <t>East Asia</t>
        </is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33" t="n"/>
      <c r="AO4" s="33" t="n">
        <v>9540000</v>
      </c>
      <c r="AP4" s="8" t="n">
        <v>7920000</v>
      </c>
      <c r="AQ4" s="8" t="n"/>
      <c r="AR4" s="16" t="inlineStr">
        <is>
          <t>https://www.stats.gov.cn/english/PressRelease/202602/t20260228_1962661.html</t>
        </is>
      </c>
      <c r="AS4" s="9" t="inlineStr">
        <is>
          <t>Annual - 1 month lag</t>
        </is>
      </c>
      <c r="AT4" s="50" t="inlineStr">
        <is>
          <t>NSO</t>
        </is>
      </c>
    </row>
    <row r="5">
      <c r="A5" s="3" t="inlineStr">
        <is>
          <t>HKG</t>
        </is>
      </c>
      <c r="B5" s="4" t="inlineStr">
        <is>
          <t>Hong Kong</t>
        </is>
      </c>
      <c r="C5" s="15" t="inlineStr">
        <is>
          <t>East Asia</t>
        </is>
      </c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25" t="n">
        <v>3089</v>
      </c>
      <c r="Q5" s="25" t="n">
        <v>2938</v>
      </c>
      <c r="R5" s="25" t="n">
        <v>2746</v>
      </c>
      <c r="S5" s="25" t="n">
        <v>2547</v>
      </c>
      <c r="T5" s="25" t="n">
        <v>2535</v>
      </c>
      <c r="U5" s="25" t="n">
        <v>2484</v>
      </c>
      <c r="V5" s="25" t="n">
        <v>2569</v>
      </c>
      <c r="W5" s="25" t="n">
        <v>2451</v>
      </c>
      <c r="X5" s="25" t="n">
        <v>2498</v>
      </c>
      <c r="Y5" s="25" t="n">
        <v>2732</v>
      </c>
      <c r="Z5" s="25" t="n">
        <v>2471</v>
      </c>
      <c r="AA5" s="25" t="n">
        <v>2654</v>
      </c>
      <c r="AB5" s="22" t="n">
        <v>2540</v>
      </c>
      <c r="AC5" s="22" t="n">
        <v>2247</v>
      </c>
      <c r="AD5" s="22" t="n">
        <v>2608</v>
      </c>
      <c r="AE5" s="20" t="n"/>
      <c r="AF5" s="7" t="n"/>
      <c r="AG5" s="7" t="n"/>
      <c r="AH5" s="7" t="n"/>
      <c r="AI5" s="7" t="n"/>
      <c r="AJ5" s="7" t="n"/>
      <c r="AK5" s="7" t="n"/>
      <c r="AL5" s="7" t="n"/>
      <c r="AM5" s="7" t="n"/>
      <c r="AN5" s="33" t="n"/>
      <c r="AO5" s="33" t="n"/>
      <c r="AP5" s="8">
        <f>SUM(P5:AA5)</f>
        <v/>
      </c>
      <c r="AQ5" s="8">
        <f>SUM(AB5:AM5)</f>
        <v/>
      </c>
      <c r="AR5" s="16" t="inlineStr">
        <is>
          <t>https://www.censtatd.gov.hk/en/EIndexbySubject.html?scode=460&amp;pcode=B1010002</t>
        </is>
      </c>
      <c r="AS5" s="9" t="inlineStr">
        <is>
          <t>Monthly - 3 month lag</t>
        </is>
      </c>
      <c r="AT5" s="50" t="inlineStr">
        <is>
          <t>NSO</t>
        </is>
      </c>
    </row>
    <row r="6">
      <c r="A6" s="3" t="inlineStr">
        <is>
          <t>JPN</t>
        </is>
      </c>
      <c r="B6" s="4" t="inlineStr">
        <is>
          <t>Japan</t>
        </is>
      </c>
      <c r="C6" s="15" t="inlineStr">
        <is>
          <t>East Asia</t>
        </is>
      </c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24" t="n">
        <v>58385</v>
      </c>
      <c r="Q6" s="24" t="n">
        <v>50951</v>
      </c>
      <c r="R6" s="24" t="n">
        <v>53619</v>
      </c>
      <c r="S6" s="24" t="n">
        <v>57306</v>
      </c>
      <c r="T6" s="24" t="n">
        <v>60718</v>
      </c>
      <c r="U6" s="24" t="n">
        <v>58301</v>
      </c>
      <c r="V6" s="24" t="n">
        <v>63415</v>
      </c>
      <c r="W6" s="24" t="n">
        <v>61822</v>
      </c>
      <c r="X6" s="24" t="n">
        <v>60547</v>
      </c>
      <c r="Y6" s="24" t="n">
        <v>63210</v>
      </c>
      <c r="Z6" s="24" t="n">
        <v>56981</v>
      </c>
      <c r="AA6" s="24" t="n">
        <v>60554</v>
      </c>
      <c r="AB6" s="21" t="n">
        <v>58694</v>
      </c>
      <c r="AC6" s="20" t="n">
        <v>50761</v>
      </c>
      <c r="AD6" s="20" t="n">
        <v>53844</v>
      </c>
      <c r="AE6" s="20" t="n"/>
      <c r="AF6" s="7" t="n"/>
      <c r="AG6" s="7" t="n"/>
      <c r="AH6" s="7" t="n"/>
      <c r="AI6" s="7" t="n"/>
      <c r="AJ6" s="7" t="n"/>
      <c r="AK6" s="7" t="n"/>
      <c r="AL6" s="7" t="n"/>
      <c r="AM6" s="7" t="n"/>
      <c r="AN6" s="33" t="n"/>
      <c r="AO6" s="33" t="n"/>
      <c r="AP6" s="8">
        <f>SUM(P6:AA6)</f>
        <v/>
      </c>
      <c r="AQ6" s="8">
        <f>SUM(AB6:AM6)</f>
        <v/>
      </c>
      <c r="AR6" s="16" t="inlineStr">
        <is>
          <t>https://www.mhlw.go.jp/toukei/saikin/hw/jinkou/geppo/s2026/03.html</t>
        </is>
      </c>
      <c r="AS6" s="9" t="inlineStr">
        <is>
          <t>Monthly - 3 month lag</t>
        </is>
      </c>
      <c r="AT6" s="50" t="inlineStr">
        <is>
          <t>NSO</t>
        </is>
      </c>
    </row>
    <row r="7">
      <c r="A7" s="3" t="inlineStr">
        <is>
          <t>MAC</t>
        </is>
      </c>
      <c r="B7" s="4" t="inlineStr">
        <is>
          <t>Macao</t>
        </is>
      </c>
      <c r="C7" s="15" t="inlineStr">
        <is>
          <t>East Asia</t>
        </is>
      </c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19" t="n">
        <v>286</v>
      </c>
      <c r="Q7" s="19" t="n">
        <v>238</v>
      </c>
      <c r="R7" s="19" t="n">
        <v>226</v>
      </c>
      <c r="S7" s="19" t="n">
        <v>256</v>
      </c>
      <c r="T7" s="19" t="n">
        <v>214</v>
      </c>
      <c r="U7" s="19" t="n">
        <v>201</v>
      </c>
      <c r="V7" s="19" t="n">
        <v>241</v>
      </c>
      <c r="W7" s="19" t="n">
        <v>225</v>
      </c>
      <c r="X7" s="19" t="n">
        <v>243</v>
      </c>
      <c r="Y7" s="19" t="n">
        <v>255</v>
      </c>
      <c r="Z7" s="19" t="n">
        <v>230</v>
      </c>
      <c r="AA7" s="19" t="n">
        <v>255</v>
      </c>
      <c r="AB7" s="21" t="n">
        <v>252</v>
      </c>
      <c r="AC7" s="20" t="n">
        <v>212</v>
      </c>
      <c r="AD7" s="20" t="n">
        <v>226</v>
      </c>
      <c r="AE7" s="20" t="n">
        <v>210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33" t="n"/>
      <c r="AO7" s="33" t="n"/>
      <c r="AP7" s="8">
        <f>SUM(P7:AA7)</f>
        <v/>
      </c>
      <c r="AQ7" s="8">
        <f>SUM(AB7:AM7)</f>
        <v/>
      </c>
      <c r="AR7" s="16" t="inlineStr">
        <is>
          <t>https://www.dsec.gov.mo/ts/#!/step2/PredefinedReport/en-US/1</t>
        </is>
      </c>
      <c r="AS7" s="9" t="inlineStr">
        <is>
          <t>Monthly - 2 month lag</t>
        </is>
      </c>
      <c r="AT7" s="50" t="inlineStr">
        <is>
          <t>NSO</t>
        </is>
      </c>
    </row>
    <row r="8">
      <c r="A8" s="3" t="inlineStr">
        <is>
          <t>MNG</t>
        </is>
      </c>
      <c r="B8" s="4" t="inlineStr">
        <is>
          <t>Mongolia</t>
        </is>
      </c>
      <c r="C8" s="15" t="inlineStr">
        <is>
          <t>East Asia</t>
        </is>
      </c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26" t="n">
        <v>4675</v>
      </c>
      <c r="Q8" s="26" t="n">
        <v>4264</v>
      </c>
      <c r="R8" s="26" t="n">
        <v>4543</v>
      </c>
      <c r="S8" s="26" t="n">
        <v>4532</v>
      </c>
      <c r="T8" s="26" t="n">
        <v>4542</v>
      </c>
      <c r="U8" s="26" t="n">
        <v>4445</v>
      </c>
      <c r="V8" s="26" t="n">
        <v>4664</v>
      </c>
      <c r="W8" s="26" t="n">
        <v>4516</v>
      </c>
      <c r="X8" s="26" t="n">
        <v>4552</v>
      </c>
      <c r="Y8" s="26" t="n">
        <v>4565</v>
      </c>
      <c r="Z8" s="26" t="n">
        <v>4403</v>
      </c>
      <c r="AA8" s="26" t="n">
        <v>4436</v>
      </c>
      <c r="AB8" s="23" t="n">
        <v>4262</v>
      </c>
      <c r="AC8" s="23" t="n">
        <v>4467</v>
      </c>
      <c r="AD8" s="23" t="n">
        <v>4089</v>
      </c>
      <c r="AE8" s="20" t="n"/>
      <c r="AF8" s="7" t="n"/>
      <c r="AG8" s="7" t="n"/>
      <c r="AH8" s="7" t="n"/>
      <c r="AI8" s="7" t="n"/>
      <c r="AJ8" s="7" t="n"/>
      <c r="AK8" s="7" t="n"/>
      <c r="AL8" s="7" t="n"/>
      <c r="AM8" s="7" t="n"/>
      <c r="AN8" s="33" t="n"/>
      <c r="AO8" s="33" t="n"/>
      <c r="AP8" s="8">
        <f>SUM(P8:AA8)</f>
        <v/>
      </c>
      <c r="AQ8" s="8">
        <f>SUM(AB8:AM8)</f>
        <v/>
      </c>
      <c r="AR8" s="16" t="inlineStr">
        <is>
          <t>https://data.mn/en/data/nso-live-births-monthly</t>
        </is>
      </c>
      <c r="AS8" s="9" t="inlineStr">
        <is>
          <t>Monthly - 3 month lag</t>
        </is>
      </c>
      <c r="AT8" s="50" t="inlineStr">
        <is>
          <t>NSO</t>
        </is>
      </c>
    </row>
    <row r="9">
      <c r="A9" s="3" t="inlineStr">
        <is>
          <t>KOR</t>
        </is>
      </c>
      <c r="B9" s="4" t="inlineStr">
        <is>
          <t>South Korea</t>
        </is>
      </c>
      <c r="C9" s="15" t="inlineStr">
        <is>
          <t>East Asia</t>
        </is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19" t="n">
        <v>24099</v>
      </c>
      <c r="Q9" s="19" t="n">
        <v>20151</v>
      </c>
      <c r="R9" s="19" t="n">
        <v>21112</v>
      </c>
      <c r="S9" s="19" t="n">
        <v>20787</v>
      </c>
      <c r="T9" s="19" t="n">
        <v>20379</v>
      </c>
      <c r="U9" s="19" t="n">
        <v>20011</v>
      </c>
      <c r="V9" s="19" t="n">
        <v>21863</v>
      </c>
      <c r="W9" s="19" t="n">
        <v>21000</v>
      </c>
      <c r="X9" s="19" t="n">
        <v>22391</v>
      </c>
      <c r="Y9" s="19" t="n">
        <v>21977</v>
      </c>
      <c r="Z9" s="19" t="n">
        <v>20684</v>
      </c>
      <c r="AA9" s="19" t="n">
        <v>20003</v>
      </c>
      <c r="AB9" s="21" t="n">
        <v>26916</v>
      </c>
      <c r="AC9" s="20" t="n">
        <v>22898</v>
      </c>
      <c r="AD9" s="20" t="n">
        <v>25200</v>
      </c>
      <c r="AE9" s="20" t="n"/>
      <c r="AF9" s="7" t="n"/>
      <c r="AG9" s="7" t="n"/>
      <c r="AH9" s="7" t="n"/>
      <c r="AI9" s="7" t="n"/>
      <c r="AJ9" s="7" t="n"/>
      <c r="AK9" s="7" t="n"/>
      <c r="AL9" s="7" t="n"/>
      <c r="AM9" s="7" t="n"/>
      <c r="AN9" s="33" t="n"/>
      <c r="AO9" s="33" t="n"/>
      <c r="AP9" s="8">
        <f>SUM(P9:AA9)</f>
        <v/>
      </c>
      <c r="AQ9" s="8">
        <f>SUM(AB9:AM9)</f>
        <v/>
      </c>
      <c r="AR9" s="17" t="inlineStr">
        <is>
          <t>https://kosis.kr/statHtml/statHtml.do?sso=ok&amp;returnurl=https%3A%2F%2Fkosis.kr%3A443%2FstatHtml%2FstatHtml.do%3Flist_id%3DA_3%26obj_var_id%3D%26seqNo%3D%26tblId%3DDT_1B8000G%26vw_cd%3DMT_ETITLE%26language%3Den%26orgId%3D101%26path%3D%252Feng%252FstatisticsList%252FstatisticsListIndex.do%26conn_path%3DMT_ETITLE%26itm_id%3D%26lang_mode%3Den%26scrId%3D%26</t>
        </is>
      </c>
      <c r="AS9" s="9" t="inlineStr">
        <is>
          <t>Monthly - 3 month lag</t>
        </is>
      </c>
      <c r="AT9" s="50" t="inlineStr">
        <is>
          <t>NSO</t>
        </is>
      </c>
    </row>
    <row r="10">
      <c r="A10" s="3" t="inlineStr">
        <is>
          <t>TWN</t>
        </is>
      </c>
      <c r="B10" s="4" t="inlineStr">
        <is>
          <t>Taiwan</t>
        </is>
      </c>
      <c r="C10" s="15" t="inlineStr">
        <is>
          <t>East Asia</t>
        </is>
      </c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27" t="n">
        <v>9495</v>
      </c>
      <c r="Q10" s="27" t="n">
        <v>10407</v>
      </c>
      <c r="R10" s="27" t="n">
        <v>9388</v>
      </c>
      <c r="S10" s="27" t="n">
        <v>8684</v>
      </c>
      <c r="T10" s="27" t="n">
        <v>8433</v>
      </c>
      <c r="U10" s="27" t="n">
        <v>8968</v>
      </c>
      <c r="V10" s="27" t="n">
        <v>8939</v>
      </c>
      <c r="W10" s="27" t="n">
        <v>8464</v>
      </c>
      <c r="X10" s="27" t="n">
        <v>8603</v>
      </c>
      <c r="Y10" s="27" t="n">
        <v>9458</v>
      </c>
      <c r="Z10" s="27" t="n">
        <v>7946</v>
      </c>
      <c r="AA10" s="27" t="n">
        <v>9027</v>
      </c>
      <c r="AB10" s="21" t="n">
        <v>8723</v>
      </c>
      <c r="AC10" s="20" t="n">
        <v>6523</v>
      </c>
      <c r="AD10" s="20" t="n">
        <v>8798</v>
      </c>
      <c r="AE10" s="20" t="n">
        <v>8144</v>
      </c>
      <c r="AF10" s="7" t="n">
        <v>6832</v>
      </c>
      <c r="AG10" s="7" t="n"/>
      <c r="AH10" s="7" t="n"/>
      <c r="AI10" s="7" t="n"/>
      <c r="AJ10" s="7" t="n"/>
      <c r="AK10" s="7" t="n"/>
      <c r="AL10" s="7" t="n"/>
      <c r="AM10" s="7" t="n"/>
      <c r="AN10" s="33" t="n"/>
      <c r="AO10" s="33" t="n"/>
      <c r="AP10" s="8">
        <f>SUM(P10:AA10)</f>
        <v/>
      </c>
      <c r="AQ10" s="8">
        <f>SUM(AB10:AM10)</f>
        <v/>
      </c>
      <c r="AR10" s="17" t="inlineStr">
        <is>
          <t>https://statis.moi.gov.tw/micst/webMain.aspx?k=menume</t>
        </is>
      </c>
      <c r="AS10" s="9" t="inlineStr">
        <is>
          <t>Monthly - 1 month lag</t>
        </is>
      </c>
      <c r="AT10" s="50" t="inlineStr">
        <is>
          <t>NSO</t>
        </is>
      </c>
    </row>
    <row r="11">
      <c r="A11" s="3" t="inlineStr">
        <is>
          <t>PRK</t>
        </is>
      </c>
      <c r="B11" s="4" t="inlineStr">
        <is>
          <t>Dem. People's Rep. of Korea</t>
        </is>
      </c>
      <c r="C11" s="5" t="inlineStr">
        <is>
          <t>East Asia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33" t="n"/>
      <c r="AO11" s="33" t="n"/>
      <c r="AP11" s="8">
        <f>SUM(P11:AA11)</f>
        <v/>
      </c>
      <c r="AQ11" s="8">
        <f>SUM(AB11:AM11)</f>
        <v/>
      </c>
      <c r="AR11" s="9" t="n"/>
      <c r="AS11" s="9" t="n"/>
      <c r="AT11" s="50" t="inlineStr">
        <is>
          <t>UN WPP 2024</t>
        </is>
      </c>
    </row>
    <row r="12">
      <c r="A12" s="40" t="inlineStr">
        <is>
          <t>SOUTHEAST ASIA</t>
        </is>
      </c>
      <c r="AN12" s="66" t="n"/>
    </row>
    <row r="13">
      <c r="A13" s="3" t="inlineStr">
        <is>
          <t>MYS</t>
        </is>
      </c>
      <c r="B13" s="4" t="inlineStr">
        <is>
          <t>Malaysia</t>
        </is>
      </c>
      <c r="C13" s="5" t="inlineStr">
        <is>
          <t>Southeast Asia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>
        <v>32614.33333333333</v>
      </c>
      <c r="Q13" s="6" t="n">
        <v>32614.33333333333</v>
      </c>
      <c r="R13" s="6" t="n">
        <v>32614.33333333333</v>
      </c>
      <c r="S13" s="6" t="n">
        <v>31145</v>
      </c>
      <c r="T13" s="6" t="n">
        <v>31145</v>
      </c>
      <c r="U13" s="6" t="n">
        <v>31145</v>
      </c>
      <c r="V13" s="6" t="n">
        <v>31823</v>
      </c>
      <c r="W13" s="6" t="n">
        <v>31823</v>
      </c>
      <c r="X13" s="6" t="n">
        <v>31823</v>
      </c>
      <c r="Y13" s="6" t="n">
        <v>33117.66666666666</v>
      </c>
      <c r="Z13" s="6" t="n">
        <v>33117.66666666666</v>
      </c>
      <c r="AA13" s="6" t="n">
        <v>33117.66666666666</v>
      </c>
      <c r="AB13" s="7" t="n">
        <v>31602.33333333333</v>
      </c>
      <c r="AC13" s="7" t="n">
        <v>31602.33333333333</v>
      </c>
      <c r="AD13" s="7" t="n">
        <v>31602.33333333333</v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33" t="n"/>
      <c r="AO13" s="33" t="n"/>
      <c r="AP13" s="8">
        <f>SUM(P13:AA13)</f>
        <v/>
      </c>
      <c r="AQ13" s="8">
        <f>SUM(AB13:AM13)</f>
        <v/>
      </c>
      <c r="AR13" s="16" t="inlineStr">
        <is>
          <t>https://www.dosm.gov.my/portal-main/release-content/demographic-statistic-malaysia-q12026</t>
        </is>
      </c>
      <c r="AS13" s="9" t="inlineStr">
        <is>
          <t>Quarterly - 3+ month lag</t>
        </is>
      </c>
      <c r="AT13" s="50" t="inlineStr">
        <is>
          <t>NSO</t>
        </is>
      </c>
    </row>
    <row r="14">
      <c r="A14" s="3" t="inlineStr">
        <is>
          <t>PHL</t>
        </is>
      </c>
      <c r="B14" s="4" t="inlineStr">
        <is>
          <t>Philippines</t>
        </is>
      </c>
      <c r="C14" s="5" t="inlineStr">
        <is>
          <t>Southeast Asia</t>
        </is>
      </c>
      <c r="D14" s="30" t="n">
        <v>116194</v>
      </c>
      <c r="E14" s="30" t="n">
        <v>96943</v>
      </c>
      <c r="F14" s="30" t="n">
        <v>103965</v>
      </c>
      <c r="G14" s="30" t="n">
        <v>106655</v>
      </c>
      <c r="H14" s="30" t="n">
        <v>108012</v>
      </c>
      <c r="I14" s="30" t="n">
        <v>103698</v>
      </c>
      <c r="J14" s="30" t="n">
        <v>110442</v>
      </c>
      <c r="K14" s="30" t="n">
        <v>113547</v>
      </c>
      <c r="L14" s="30" t="n">
        <v>126460</v>
      </c>
      <c r="M14" s="30" t="n">
        <v>128482</v>
      </c>
      <c r="N14" s="30" t="n">
        <v>124216</v>
      </c>
      <c r="O14" s="30" t="n">
        <v>120375</v>
      </c>
      <c r="P14" s="29" t="n">
        <v>109895</v>
      </c>
      <c r="Q14" s="29" t="n">
        <v>88399</v>
      </c>
      <c r="R14" s="29" t="n">
        <v>97776</v>
      </c>
      <c r="S14" s="29" t="n">
        <v>100548</v>
      </c>
      <c r="T14" s="29" t="n">
        <v>105211</v>
      </c>
      <c r="U14" s="29" t="n">
        <v>101109</v>
      </c>
      <c r="V14" s="29" t="n">
        <v>107814</v>
      </c>
      <c r="W14" s="29" t="n">
        <v>109362</v>
      </c>
      <c r="X14" s="29" t="n">
        <v>120226</v>
      </c>
      <c r="Y14" s="29" t="n">
        <v>109692</v>
      </c>
      <c r="Z14" s="30" t="n">
        <v>55772</v>
      </c>
      <c r="AA14" s="6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33" t="n"/>
      <c r="AO14" s="33" t="n"/>
      <c r="AP14" s="8">
        <f>SUM(P14:AA14)</f>
        <v/>
      </c>
      <c r="AQ14" s="8">
        <f>SUM(AB14:AM14)</f>
        <v/>
      </c>
      <c r="AR14" s="16" t="inlineStr">
        <is>
          <t>https://psa.gov.ph/statistics/vital-statistics/node/1684083526</t>
        </is>
      </c>
      <c r="AS14" s="9" t="inlineStr">
        <is>
          <t>Monthly - 6+ month lag</t>
        </is>
      </c>
      <c r="AT14" s="50" t="inlineStr">
        <is>
          <t>DRE</t>
        </is>
      </c>
    </row>
    <row r="15">
      <c r="A15" s="3" t="inlineStr">
        <is>
          <t>SGP</t>
        </is>
      </c>
      <c r="B15" s="4" t="inlineStr">
        <is>
          <t>Singapore</t>
        </is>
      </c>
      <c r="C15" s="5" t="inlineStr">
        <is>
          <t>Southeast Asia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6" t="n">
        <v>2784</v>
      </c>
      <c r="Q15" s="6" t="n">
        <v>2385</v>
      </c>
      <c r="R15" s="6" t="n">
        <v>2461</v>
      </c>
      <c r="S15" s="6" t="n">
        <v>2449</v>
      </c>
      <c r="T15" s="6" t="n">
        <v>2514</v>
      </c>
      <c r="U15" s="6" t="n">
        <v>2283</v>
      </c>
      <c r="V15" s="6" t="n">
        <v>2535</v>
      </c>
      <c r="W15" s="6" t="n">
        <v>2486</v>
      </c>
      <c r="X15" s="6" t="n">
        <v>2515</v>
      </c>
      <c r="Y15" s="6" t="n">
        <v>2599</v>
      </c>
      <c r="Z15" s="6" t="n">
        <v>2434</v>
      </c>
      <c r="AA15" s="6" t="n">
        <v>2419</v>
      </c>
      <c r="AB15" s="7" t="n">
        <v>2240</v>
      </c>
      <c r="AC15" s="7" t="n">
        <v>2083</v>
      </c>
      <c r="AD15" s="7" t="n">
        <v>2357</v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33" t="n"/>
      <c r="AO15" s="33" t="n"/>
      <c r="AP15" s="8">
        <f>SUM(P15:AD15)</f>
        <v/>
      </c>
      <c r="AQ15" s="8">
        <f>SUM(AB15:AM15)</f>
        <v/>
      </c>
      <c r="AR15" s="16" t="inlineStr">
        <is>
          <t>https://tablebuilder.singstat.gov.sg/table/TS/M810051</t>
        </is>
      </c>
      <c r="AS15" s="9" t="inlineStr">
        <is>
          <t>Monthly - 3 month lag</t>
        </is>
      </c>
      <c r="AT15" s="50" t="inlineStr">
        <is>
          <t>NSO</t>
        </is>
      </c>
    </row>
    <row r="16">
      <c r="A16" s="3" t="inlineStr">
        <is>
          <t>THA</t>
        </is>
      </c>
      <c r="B16" s="4" t="inlineStr">
        <is>
          <t>Thailand</t>
        </is>
      </c>
      <c r="C16" s="5" t="inlineStr">
        <is>
          <t>Southeast Asia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>
        <v>36850</v>
      </c>
      <c r="Q16" s="6" t="n">
        <v>29678</v>
      </c>
      <c r="R16" s="6" t="n">
        <v>33434</v>
      </c>
      <c r="S16" s="6" t="n">
        <v>34957</v>
      </c>
      <c r="T16" s="6" t="n">
        <v>34011</v>
      </c>
      <c r="U16" s="6" t="n">
        <v>32245</v>
      </c>
      <c r="V16" s="6" t="n">
        <v>34571</v>
      </c>
      <c r="W16" s="6" t="n">
        <v>34571</v>
      </c>
      <c r="X16" s="6" t="n">
        <v>39327</v>
      </c>
      <c r="Y16" s="6" t="n">
        <v>39042</v>
      </c>
      <c r="Z16" s="6" t="n">
        <v>32450</v>
      </c>
      <c r="AA16" s="6" t="n">
        <v>35438</v>
      </c>
      <c r="AB16" s="7" t="n">
        <v>31395</v>
      </c>
      <c r="AC16" s="7" t="n">
        <v>27308</v>
      </c>
      <c r="AD16" s="7" t="n">
        <v>30437</v>
      </c>
      <c r="AE16" s="7" t="n">
        <v>29165</v>
      </c>
      <c r="AF16" s="7" t="n">
        <v>28463</v>
      </c>
      <c r="AG16" s="7" t="n"/>
      <c r="AH16" s="7" t="n"/>
      <c r="AI16" s="7" t="n"/>
      <c r="AJ16" s="7" t="n"/>
      <c r="AK16" s="7" t="n"/>
      <c r="AL16" s="7" t="n"/>
      <c r="AM16" s="7" t="n"/>
      <c r="AN16" s="33" t="n"/>
      <c r="AO16" s="33" t="n"/>
      <c r="AP16" s="8">
        <f>SUM(P16:AA16)</f>
        <v/>
      </c>
      <c r="AQ16" s="8">
        <f>SUM(AB16:AM16)</f>
        <v/>
      </c>
      <c r="AR16" s="16" t="inlineStr">
        <is>
          <t>https://stat.bora.dopa.go.th/stat/statnew/statMONTH/statmonth/#/displayData</t>
        </is>
      </c>
      <c r="AS16" s="9" t="inlineStr">
        <is>
          <t>Monthly - 1 month lag</t>
        </is>
      </c>
      <c r="AT16" s="50" t="inlineStr">
        <is>
          <t>NSO</t>
        </is>
      </c>
    </row>
    <row r="17">
      <c r="A17" s="3" t="inlineStr">
        <is>
          <t>VNM</t>
        </is>
      </c>
      <c r="B17" s="4" t="inlineStr">
        <is>
          <t>Vietnam</t>
        </is>
      </c>
      <c r="C17" s="5" t="inlineStr">
        <is>
          <t>Southeast Asia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33" t="n"/>
      <c r="AO17" s="33" t="n">
        <v>1364324</v>
      </c>
      <c r="AP17" s="8">
        <f>SUM(P17:AA17)</f>
        <v/>
      </c>
      <c r="AQ17" s="8">
        <f>SUM(AB17:AM17)</f>
        <v/>
      </c>
      <c r="AR17" s="16" t="inlineStr">
        <is>
          <t>https://www.nso.gov.vn/en/default/2025/10/national-report-on-civil-registration-and-vital-statistics-2021-2024/</t>
        </is>
      </c>
      <c r="AS17" s="9" t="inlineStr">
        <is>
          <t>1+ year lag</t>
        </is>
      </c>
      <c r="AT17" s="50" t="inlineStr">
        <is>
          <t>DRE</t>
        </is>
      </c>
    </row>
    <row r="18">
      <c r="A18" s="3" t="inlineStr">
        <is>
          <t>BRN</t>
        </is>
      </c>
      <c r="B18" s="4" t="inlineStr">
        <is>
          <t>Brunei Darussalam</t>
        </is>
      </c>
      <c r="C18" s="5" t="inlineStr">
        <is>
          <t>Southeast Asia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33" t="n">
        <v>6290</v>
      </c>
      <c r="AO18" s="33" t="n">
        <v>5359</v>
      </c>
      <c r="AP18" s="8">
        <f>SUM(P18:AA18)</f>
        <v/>
      </c>
      <c r="AQ18" s="8">
        <f>SUM(AB18:AM18)</f>
        <v/>
      </c>
      <c r="AR18" s="17" t="inlineStr">
        <is>
          <t>https://deps.mofe.gov.bn/vital-statictics/</t>
        </is>
      </c>
      <c r="AS18" s="9" t="inlineStr">
        <is>
          <t>Annual - 1+ year lag</t>
        </is>
      </c>
      <c r="AT18" s="50" t="inlineStr">
        <is>
          <t>DRE</t>
        </is>
      </c>
    </row>
    <row r="19">
      <c r="A19" s="3" t="inlineStr">
        <is>
          <t>KHM</t>
        </is>
      </c>
      <c r="B19" s="4" t="inlineStr">
        <is>
          <t>Cambodia</t>
        </is>
      </c>
      <c r="C19" s="5" t="inlineStr">
        <is>
          <t>Southeast Asia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33" t="n"/>
      <c r="AO19" s="33" t="n"/>
      <c r="AP19" s="8">
        <f>SUM(P19:AA19)</f>
        <v/>
      </c>
      <c r="AQ19" s="8">
        <f>SUM(AB19:AM19)</f>
        <v/>
      </c>
      <c r="AR19" s="9" t="n"/>
      <c r="AS19" s="9" t="n"/>
      <c r="AT19" s="50" t="inlineStr">
        <is>
          <t>UN WPP 2024</t>
        </is>
      </c>
    </row>
    <row r="20">
      <c r="A20" s="3" t="inlineStr">
        <is>
          <t>IDN</t>
        </is>
      </c>
      <c r="B20" s="4" t="inlineStr">
        <is>
          <t>Indonesia</t>
        </is>
      </c>
      <c r="C20" s="5" t="inlineStr">
        <is>
          <t>Southeast Asia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33" t="n"/>
      <c r="AO20" s="33" t="n"/>
      <c r="AP20" s="8">
        <f>SUM(P20:AA20)</f>
        <v/>
      </c>
      <c r="AQ20" s="8">
        <f>SUM(AB20:AM20)</f>
        <v/>
      </c>
      <c r="AR20" s="9" t="n"/>
      <c r="AS20" s="9" t="n"/>
      <c r="AT20" s="50" t="inlineStr">
        <is>
          <t>UN WPP 2024</t>
        </is>
      </c>
    </row>
    <row r="21">
      <c r="A21" s="3" t="inlineStr">
        <is>
          <t>LAO</t>
        </is>
      </c>
      <c r="B21" s="4" t="inlineStr">
        <is>
          <t>Lao People's Dem. Republic</t>
        </is>
      </c>
      <c r="C21" s="5" t="inlineStr">
        <is>
          <t>Southeast Asia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33" t="n"/>
      <c r="AO21" s="33" t="n"/>
      <c r="AP21" s="8">
        <f>SUM(P21:AA21)</f>
        <v/>
      </c>
      <c r="AQ21" s="8">
        <f>SUM(AB21:AM21)</f>
        <v/>
      </c>
      <c r="AR21" s="9" t="n"/>
      <c r="AS21" s="9" t="n"/>
      <c r="AT21" s="50" t="inlineStr">
        <is>
          <t>DRE</t>
        </is>
      </c>
    </row>
    <row r="22">
      <c r="A22" s="3" t="inlineStr">
        <is>
          <t>MMR</t>
        </is>
      </c>
      <c r="B22" s="4" t="inlineStr">
        <is>
          <t>Myanmar</t>
        </is>
      </c>
      <c r="C22" s="5" t="inlineStr">
        <is>
          <t>Southeast Asia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33" t="n"/>
      <c r="AO22" s="33" t="n"/>
      <c r="AP22" s="8">
        <f>SUM(P22:AA22)</f>
        <v/>
      </c>
      <c r="AQ22" s="8">
        <f>SUM(AB22:AM22)</f>
        <v/>
      </c>
      <c r="AR22" s="9" t="n"/>
      <c r="AS22" s="9" t="n"/>
      <c r="AT22" s="50" t="inlineStr">
        <is>
          <t>UN WPP 2024</t>
        </is>
      </c>
    </row>
    <row r="23">
      <c r="A23" s="3" t="inlineStr">
        <is>
          <t>TLS</t>
        </is>
      </c>
      <c r="B23" s="4" t="inlineStr">
        <is>
          <t>Timor-Leste</t>
        </is>
      </c>
      <c r="C23" s="5" t="inlineStr">
        <is>
          <t>Southeast Asia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33" t="n"/>
      <c r="AO23" s="33" t="n"/>
      <c r="AP23" s="8">
        <f>SUM(P23:AA23)</f>
        <v/>
      </c>
      <c r="AQ23" s="8">
        <f>SUM(AB23:AM23)</f>
        <v/>
      </c>
      <c r="AR23" s="9" t="n"/>
      <c r="AS23" s="9" t="n"/>
      <c r="AT23" s="50" t="inlineStr">
        <is>
          <t>UN WPP 2024</t>
        </is>
      </c>
    </row>
    <row r="24">
      <c r="A24" s="40" t="inlineStr">
        <is>
          <t>SOUTH ASIA</t>
        </is>
      </c>
      <c r="AN24" s="66" t="n"/>
      <c r="AP24" s="8">
        <f>SUM(P17:AA17)</f>
        <v/>
      </c>
      <c r="AQ24" s="8">
        <f>SUM(AB17:AM17)</f>
        <v/>
      </c>
    </row>
    <row r="25">
      <c r="A25" s="3" t="inlineStr">
        <is>
          <t>BGD</t>
        </is>
      </c>
      <c r="B25" s="4" t="inlineStr">
        <is>
          <t>Bangladesh</t>
        </is>
      </c>
      <c r="C25" s="5" t="inlineStr">
        <is>
          <t>South Asia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33" t="n"/>
      <c r="AO25" s="33" t="n"/>
      <c r="AP25" s="8">
        <f>SUM(P25:AA25)</f>
        <v/>
      </c>
      <c r="AQ25" s="8">
        <f>SUM(AB25:AM25)</f>
        <v/>
      </c>
      <c r="AR25" s="9" t="n"/>
      <c r="AS25" s="9" t="n"/>
      <c r="AT25" s="50" t="inlineStr">
        <is>
          <t>UN WPP 2024</t>
        </is>
      </c>
    </row>
    <row r="26">
      <c r="A26" s="3" t="inlineStr">
        <is>
          <t>IND</t>
        </is>
      </c>
      <c r="B26" s="4" t="inlineStr">
        <is>
          <t>India</t>
        </is>
      </c>
      <c r="C26" s="5" t="inlineStr">
        <is>
          <t>South Asia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33" t="n"/>
      <c r="AO26" s="33" t="n"/>
      <c r="AP26" s="8">
        <f>SUM(P26:AA26)</f>
        <v/>
      </c>
      <c r="AQ26" s="8">
        <f>SUM(AB26:AM26)</f>
        <v/>
      </c>
      <c r="AR26" s="9" t="n"/>
      <c r="AS26" s="9" t="n"/>
      <c r="AT26" s="50" t="inlineStr">
        <is>
          <t>UN WPP 2024</t>
        </is>
      </c>
    </row>
    <row r="27">
      <c r="A27" s="3" t="inlineStr">
        <is>
          <t>LKA</t>
        </is>
      </c>
      <c r="B27" s="4" t="inlineStr">
        <is>
          <t>Sri Lanka</t>
        </is>
      </c>
      <c r="C27" s="5" t="inlineStr">
        <is>
          <t>South Asia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33" t="n"/>
      <c r="AO27" s="33" t="n"/>
      <c r="AP27" s="8">
        <f>SUM(P27:AA27)</f>
        <v/>
      </c>
      <c r="AQ27" s="8">
        <f>SUM(AB27:AM27)</f>
        <v/>
      </c>
      <c r="AR27" s="9" t="n"/>
      <c r="AS27" s="9" t="n"/>
      <c r="AT27" s="50" t="inlineStr">
        <is>
          <t>DRE</t>
        </is>
      </c>
    </row>
    <row r="28">
      <c r="A28" s="3" t="inlineStr">
        <is>
          <t>AFG</t>
        </is>
      </c>
      <c r="B28" s="4" t="inlineStr">
        <is>
          <t>Afghanistan</t>
        </is>
      </c>
      <c r="C28" s="5" t="inlineStr">
        <is>
          <t>South Asia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33" t="n"/>
      <c r="AO28" s="33" t="n"/>
      <c r="AP28" s="8">
        <f>SUM(P28:AA28)</f>
        <v/>
      </c>
      <c r="AQ28" s="8">
        <f>SUM(AB28:AM28)</f>
        <v/>
      </c>
      <c r="AR28" s="9" t="n"/>
      <c r="AS28" s="9" t="n"/>
      <c r="AT28" s="50" t="inlineStr">
        <is>
          <t>DRE</t>
        </is>
      </c>
    </row>
    <row r="29">
      <c r="A29" s="3" t="inlineStr">
        <is>
          <t>BTN</t>
        </is>
      </c>
      <c r="B29" s="4" t="inlineStr">
        <is>
          <t>Bhutan</t>
        </is>
      </c>
      <c r="C29" s="5" t="inlineStr">
        <is>
          <t>South Asia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33" t="n"/>
      <c r="AO29" s="33" t="n"/>
      <c r="AP29" s="8">
        <f>SUM(P29:AA29)</f>
        <v/>
      </c>
      <c r="AQ29" s="8">
        <f>SUM(AB29:AM29)</f>
        <v/>
      </c>
      <c r="AR29" s="9" t="n"/>
      <c r="AS29" s="9" t="n"/>
      <c r="AT29" s="50" t="inlineStr">
        <is>
          <t>UN WPP 2024</t>
        </is>
      </c>
    </row>
    <row r="30">
      <c r="A30" s="3" t="inlineStr">
        <is>
          <t>MDV</t>
        </is>
      </c>
      <c r="B30" s="4" t="inlineStr">
        <is>
          <t>Maldives</t>
        </is>
      </c>
      <c r="C30" s="5" t="inlineStr">
        <is>
          <t>South Asia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33" t="n"/>
      <c r="AO30" s="33" t="n"/>
      <c r="AP30" s="8">
        <f>SUM(P30:AA30)</f>
        <v/>
      </c>
      <c r="AQ30" s="8">
        <f>SUM(AB30:AM30)</f>
        <v/>
      </c>
      <c r="AR30" s="9" t="n"/>
      <c r="AS30" s="9" t="n"/>
      <c r="AT30" s="50" t="inlineStr">
        <is>
          <t>DRE</t>
        </is>
      </c>
    </row>
    <row r="31">
      <c r="A31" s="3" t="inlineStr">
        <is>
          <t>NPL</t>
        </is>
      </c>
      <c r="B31" s="4" t="inlineStr">
        <is>
          <t>Nepal</t>
        </is>
      </c>
      <c r="C31" s="5" t="inlineStr">
        <is>
          <t>South Asia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33" t="n"/>
      <c r="AO31" s="33" t="n"/>
      <c r="AP31" s="8">
        <f>SUM(P31:AA31)</f>
        <v/>
      </c>
      <c r="AQ31" s="8">
        <f>SUM(AB31:AM31)</f>
        <v/>
      </c>
      <c r="AR31" s="9" t="n"/>
      <c r="AS31" s="9" t="n"/>
      <c r="AT31" s="50" t="inlineStr">
        <is>
          <t>UN WPP 2024</t>
        </is>
      </c>
    </row>
    <row r="32">
      <c r="A32" s="3" t="inlineStr">
        <is>
          <t>PAK</t>
        </is>
      </c>
      <c r="B32" s="4" t="inlineStr">
        <is>
          <t>Pakistan</t>
        </is>
      </c>
      <c r="C32" s="5" t="inlineStr">
        <is>
          <t>South Asia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33" t="n"/>
      <c r="AO32" s="33" t="n"/>
      <c r="AP32" s="8">
        <f>SUM(P32:AA32)</f>
        <v/>
      </c>
      <c r="AQ32" s="8">
        <f>SUM(AB32:AM32)</f>
        <v/>
      </c>
      <c r="AR32" s="9" t="n"/>
      <c r="AS32" s="9" t="n"/>
      <c r="AT32" s="50" t="inlineStr">
        <is>
          <t>UN WPP 2024</t>
        </is>
      </c>
    </row>
    <row r="33">
      <c r="A33" s="40" t="inlineStr">
        <is>
          <t>CENTRAL ASIA</t>
        </is>
      </c>
      <c r="AN33" s="66" t="n"/>
      <c r="AP33" s="8">
        <f>SUM(P21:AA21)</f>
        <v/>
      </c>
      <c r="AQ33" s="8">
        <f>SUM(AB21:AM21)</f>
        <v/>
      </c>
    </row>
    <row r="34">
      <c r="A34" s="3" t="inlineStr">
        <is>
          <t>KAZ</t>
        </is>
      </c>
      <c r="B34" s="4" t="inlineStr">
        <is>
          <t>Kazakhstan</t>
        </is>
      </c>
      <c r="C34" s="5" t="inlineStr">
        <is>
          <t>Central Asia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34" t="n">
        <v>25071</v>
      </c>
      <c r="Q34" s="34" t="n">
        <v>26368</v>
      </c>
      <c r="R34" s="34" t="n">
        <v>25906</v>
      </c>
      <c r="S34" s="35" t="n">
        <v>28766</v>
      </c>
      <c r="T34" s="36" t="n">
        <v>27451</v>
      </c>
      <c r="U34" s="37" t="n">
        <v>27675</v>
      </c>
      <c r="V34" s="38" t="n">
        <v>30729</v>
      </c>
      <c r="W34" s="38" t="n">
        <v>27975</v>
      </c>
      <c r="X34" s="36" t="n">
        <v>29371</v>
      </c>
      <c r="Y34" s="36" t="n">
        <v>28348</v>
      </c>
      <c r="Z34" s="36" t="n">
        <v>24448</v>
      </c>
      <c r="AA34" s="36" t="n">
        <v>27529</v>
      </c>
      <c r="AB34" s="36" t="n">
        <v>25819</v>
      </c>
      <c r="AC34" s="36" t="n">
        <v>22722</v>
      </c>
      <c r="AD34" s="39" t="n">
        <v>25526</v>
      </c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33" t="n"/>
      <c r="AO34" s="33" t="n"/>
      <c r="AP34" s="8">
        <f>SUM(P34:AA34)</f>
        <v/>
      </c>
      <c r="AQ34" s="8">
        <f>SUM(AB34:AM34)</f>
        <v/>
      </c>
      <c r="AR34" s="16" t="inlineStr">
        <is>
          <t>https://stat.gov.kz/en/industries/social-statistics/demography/dynamic-tables/</t>
        </is>
      </c>
      <c r="AS34" s="9" t="inlineStr">
        <is>
          <t>Monthly - 3 month lag</t>
        </is>
      </c>
      <c r="AT34" s="50" t="inlineStr">
        <is>
          <t>NSO</t>
        </is>
      </c>
    </row>
    <row r="35">
      <c r="A35" s="3" t="inlineStr">
        <is>
          <t>KGZ</t>
        </is>
      </c>
      <c r="B35" s="4" t="inlineStr">
        <is>
          <t>Kyrgyzstan</t>
        </is>
      </c>
      <c r="C35" s="5" t="inlineStr">
        <is>
          <t>Central Asia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6" t="n">
        <v>10585</v>
      </c>
      <c r="Q35" s="6" t="n">
        <v>10585</v>
      </c>
      <c r="R35" s="6" t="n">
        <v>10585</v>
      </c>
      <c r="S35" s="6" t="n">
        <v>12073.77777777778</v>
      </c>
      <c r="T35" s="28" t="n">
        <v>12074</v>
      </c>
      <c r="U35" s="28" t="n">
        <v>12074</v>
      </c>
      <c r="V35" s="28" t="n">
        <v>12074</v>
      </c>
      <c r="W35" s="28" t="n">
        <v>12074</v>
      </c>
      <c r="X35" s="28" t="n">
        <v>12074</v>
      </c>
      <c r="Y35" s="28" t="n">
        <v>12074</v>
      </c>
      <c r="Z35" s="28" t="n">
        <v>12074</v>
      </c>
      <c r="AA35" s="28" t="n">
        <v>12074</v>
      </c>
      <c r="AB35" s="7" t="n">
        <v>10932.33333333333</v>
      </c>
      <c r="AC35" s="7" t="n">
        <v>10932.33333333333</v>
      </c>
      <c r="AD35" s="7" t="n">
        <v>10932.33333333333</v>
      </c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33" t="n"/>
      <c r="AO35" s="33" t="n">
        <v>140419</v>
      </c>
      <c r="AP35" s="8" t="n">
        <v>140504</v>
      </c>
      <c r="AQ35" s="8">
        <f>SUM(AB35:AM35)</f>
        <v/>
      </c>
      <c r="AR35" s="16" t="inlineStr">
        <is>
          <t>https://stat.gov.kg/ru/statistics/naselenie/</t>
        </is>
      </c>
      <c r="AS35" s="9" t="inlineStr">
        <is>
          <t>Quarterly - 3 month lag</t>
        </is>
      </c>
      <c r="AT35" s="50" t="inlineStr">
        <is>
          <t>NSO</t>
        </is>
      </c>
    </row>
    <row r="36">
      <c r="A36" s="3" t="inlineStr">
        <is>
          <t>TJK</t>
        </is>
      </c>
      <c r="B36" s="4" t="inlineStr">
        <is>
          <t>Tajikistan</t>
        </is>
      </c>
      <c r="C36" s="5" t="inlineStr">
        <is>
          <t>Central Asia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33" t="n"/>
      <c r="AO36" s="33" t="inlineStr">
        <is>
          <t>?</t>
        </is>
      </c>
      <c r="AP36" s="8" t="inlineStr">
        <is>
          <t>?</t>
        </is>
      </c>
      <c r="AQ36" s="8" t="inlineStr">
        <is>
          <t>?</t>
        </is>
      </c>
      <c r="AR36" s="9" t="n"/>
      <c r="AS36" s="9" t="n"/>
      <c r="AT36" s="50" t="inlineStr">
        <is>
          <t>NSO</t>
        </is>
      </c>
    </row>
    <row r="37">
      <c r="A37" s="3" t="inlineStr">
        <is>
          <t>UZB</t>
        </is>
      </c>
      <c r="B37" s="4" t="inlineStr">
        <is>
          <t>Uzbekistan</t>
        </is>
      </c>
      <c r="C37" s="5" t="inlineStr">
        <is>
          <t>Central Asia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6" t="n">
        <v>66033.33333333333</v>
      </c>
      <c r="Q37" s="6" t="n">
        <v>66033.33333333333</v>
      </c>
      <c r="R37" s="28" t="n">
        <v>66033</v>
      </c>
      <c r="S37" s="28" t="n">
        <v>69133.33333333333</v>
      </c>
      <c r="T37" s="28" t="n">
        <v>69133.33333333333</v>
      </c>
      <c r="U37" s="28" t="n">
        <v>69133.33333333333</v>
      </c>
      <c r="V37" s="28" t="n">
        <v>86366.66666666667</v>
      </c>
      <c r="W37" s="28" t="n">
        <v>86367</v>
      </c>
      <c r="X37" s="28" t="n">
        <v>86367</v>
      </c>
      <c r="Y37" s="28" t="n">
        <v>71666.66666666667</v>
      </c>
      <c r="Z37" s="28" t="n">
        <v>71666.66666666667</v>
      </c>
      <c r="AA37" s="28" t="n">
        <v>71666.66666666667</v>
      </c>
      <c r="AB37" s="7" t="n">
        <v>63700</v>
      </c>
      <c r="AC37" s="7" t="n">
        <v>63700</v>
      </c>
      <c r="AD37" s="7" t="n">
        <v>63700</v>
      </c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33" t="n"/>
      <c r="AO37" s="33" t="n">
        <v>926422</v>
      </c>
      <c r="AP37" s="8" t="n">
        <v>879600</v>
      </c>
      <c r="AQ37" s="8">
        <f>SUM(AB37:AM37)</f>
        <v/>
      </c>
      <c r="AR37" s="17" t="inlineStr">
        <is>
          <t>https://stat.uz/en/</t>
        </is>
      </c>
      <c r="AS37" s="9" t="inlineStr">
        <is>
          <t>Quarterly - 3 month lag</t>
        </is>
      </c>
      <c r="AT37" s="50" t="inlineStr">
        <is>
          <t>NSO</t>
        </is>
      </c>
    </row>
    <row r="38">
      <c r="A38" s="3" t="inlineStr">
        <is>
          <t>TKM</t>
        </is>
      </c>
      <c r="B38" s="4" t="inlineStr">
        <is>
          <t>Turkmenistan</t>
        </is>
      </c>
      <c r="C38" s="5" t="inlineStr">
        <is>
          <t>Central Asia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33" t="n"/>
      <c r="AO38" s="33" t="n"/>
      <c r="AP38" s="8">
        <f>SUM(P38:AA38)</f>
        <v/>
      </c>
      <c r="AQ38" s="8">
        <f>SUM(AB38:AM38)</f>
        <v/>
      </c>
      <c r="AR38" s="9" t="n"/>
      <c r="AS38" s="9" t="n"/>
      <c r="AT38" s="50" t="inlineStr">
        <is>
          <t>UN WPP 2024</t>
        </is>
      </c>
    </row>
    <row r="39">
      <c r="A39" s="40" t="inlineStr">
        <is>
          <t>WESTERN &amp; NORTHERN EUROPE</t>
        </is>
      </c>
      <c r="AN39" s="66" t="n"/>
      <c r="AP39" s="8">
        <f>SUM(P26:AA26)</f>
        <v/>
      </c>
      <c r="AQ39" s="8">
        <f>SUM(AB26:AM26)</f>
        <v/>
      </c>
    </row>
    <row r="40">
      <c r="A40" s="3" t="inlineStr">
        <is>
          <t>AUT</t>
        </is>
      </c>
      <c r="B40" s="4" t="inlineStr">
        <is>
          <t>Austria</t>
        </is>
      </c>
      <c r="C40" s="5" t="inlineStr">
        <is>
          <t>Western &amp; Northern Europe</t>
        </is>
      </c>
      <c r="D40" s="45" t="n">
        <v>6426</v>
      </c>
      <c r="E40" s="45" t="n">
        <v>6072</v>
      </c>
      <c r="F40" s="45" t="n">
        <v>6422</v>
      </c>
      <c r="G40" s="45" t="n">
        <v>6228</v>
      </c>
      <c r="H40" s="45" t="n">
        <v>6490</v>
      </c>
      <c r="I40" s="45" t="n">
        <v>6353</v>
      </c>
      <c r="J40" s="45" t="n">
        <v>6858</v>
      </c>
      <c r="K40" s="45" t="n">
        <v>6728</v>
      </c>
      <c r="L40" s="45" t="n">
        <v>6751</v>
      </c>
      <c r="M40" s="45" t="n">
        <v>6682</v>
      </c>
      <c r="N40" s="45" t="n">
        <v>6143</v>
      </c>
      <c r="O40" s="45" t="n">
        <v>6085</v>
      </c>
      <c r="P40" s="6" t="n">
        <v>6360</v>
      </c>
      <c r="Q40" s="6" t="n">
        <v>5529</v>
      </c>
      <c r="R40" s="6" t="n">
        <v>6117</v>
      </c>
      <c r="S40" s="6" t="n">
        <v>6072</v>
      </c>
      <c r="T40" s="6" t="n">
        <v>6395</v>
      </c>
      <c r="U40" s="6" t="n">
        <v>6299</v>
      </c>
      <c r="V40" s="6" t="n">
        <v>7091</v>
      </c>
      <c r="W40" s="6" t="n">
        <v>6701</v>
      </c>
      <c r="X40" s="6" t="n">
        <v>6734</v>
      </c>
      <c r="Y40" s="6" t="n"/>
      <c r="Z40" s="6" t="n"/>
      <c r="AA40" s="6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33" t="n"/>
      <c r="AO40" s="33" t="n">
        <v>77238</v>
      </c>
      <c r="AP40" s="8">
        <f>SUM(P40:AA40)</f>
        <v/>
      </c>
      <c r="AQ40" s="8">
        <f>SUM(AB40:AM40)</f>
        <v/>
      </c>
      <c r="AR40" s="17" t="inlineStr">
        <is>
          <t>https://ec.europa.eu/eurostat/databrowser/view/demo_fmonth/default/table?lang=en</t>
        </is>
      </c>
      <c r="AS40" s="9" t="inlineStr">
        <is>
          <t>Eurostat demo_fmonth — 2024 full year; 2025 Jan–Sep (9 mo).</t>
        </is>
      </c>
      <c r="AT40" s="50" t="inlineStr">
        <is>
          <t>NSO</t>
        </is>
      </c>
    </row>
    <row r="41">
      <c r="A41" s="3" t="inlineStr">
        <is>
          <t>BEL</t>
        </is>
      </c>
      <c r="B41" s="4" t="inlineStr">
        <is>
          <t>Belgium</t>
        </is>
      </c>
      <c r="C41" s="5" t="inlineStr">
        <is>
          <t>Western &amp; Northern Europe</t>
        </is>
      </c>
      <c r="D41" s="45" t="n">
        <v>9228</v>
      </c>
      <c r="E41" s="45" t="n">
        <v>8838</v>
      </c>
      <c r="F41" s="45" t="n">
        <v>9019</v>
      </c>
      <c r="G41" s="45" t="n">
        <v>9113</v>
      </c>
      <c r="H41" s="45" t="n">
        <v>9248</v>
      </c>
      <c r="I41" s="45" t="n">
        <v>8589</v>
      </c>
      <c r="J41" s="45" t="n">
        <v>9610</v>
      </c>
      <c r="K41" s="45" t="n">
        <v>9328</v>
      </c>
      <c r="L41" s="45" t="n">
        <v>8853</v>
      </c>
      <c r="M41" s="45" t="n">
        <v>9233</v>
      </c>
      <c r="N41" s="45" t="n">
        <v>8426</v>
      </c>
      <c r="O41" s="45" t="n">
        <v>8665</v>
      </c>
      <c r="P41" s="6" t="n">
        <v>9501</v>
      </c>
      <c r="Q41" s="6" t="n">
        <v>8332</v>
      </c>
      <c r="R41" s="6" t="n">
        <v>8784</v>
      </c>
      <c r="S41" s="6" t="n">
        <v>9130</v>
      </c>
      <c r="T41" s="6" t="n">
        <v>9079</v>
      </c>
      <c r="U41" s="6" t="n">
        <v>9133</v>
      </c>
      <c r="V41" s="6" t="n">
        <v>9946</v>
      </c>
      <c r="W41" s="6" t="n">
        <v>9554</v>
      </c>
      <c r="X41" s="6" t="n">
        <v>9083</v>
      </c>
      <c r="Y41" s="6" t="n">
        <v>9083</v>
      </c>
      <c r="Z41" s="6" t="n">
        <v>8254</v>
      </c>
      <c r="AA41" s="6" t="n">
        <v>8817</v>
      </c>
      <c r="AB41" s="7" t="n">
        <v>9340</v>
      </c>
      <c r="AC41" s="7" t="n">
        <v>8304</v>
      </c>
      <c r="AD41" s="7" t="n">
        <v>9009</v>
      </c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33" t="n"/>
      <c r="AO41" s="33" t="n">
        <v>109154</v>
      </c>
      <c r="AP41" s="8">
        <f>SUM(P41:AA41)</f>
        <v/>
      </c>
      <c r="AQ41" s="8">
        <f>SUM(AB41:AM41)</f>
        <v/>
      </c>
      <c r="AR41" s="17" t="inlineStr">
        <is>
          <t>https://statbel.fgov.be/en/themes/population/population-movement/births</t>
        </is>
      </c>
      <c r="AS41" s="9" t="inlineStr">
        <is>
          <t>Monthly - 2 month lag</t>
        </is>
      </c>
      <c r="AT41" s="50" t="inlineStr">
        <is>
          <t>NSO</t>
        </is>
      </c>
    </row>
    <row r="42">
      <c r="A42" s="3" t="inlineStr">
        <is>
          <t>CYP</t>
        </is>
      </c>
      <c r="B42" s="4" t="inlineStr">
        <is>
          <t>Cyprus</t>
        </is>
      </c>
      <c r="C42" s="5" t="inlineStr">
        <is>
          <t>Western &amp; Northern Europe</t>
        </is>
      </c>
      <c r="D42" s="45" t="n">
        <v>813</v>
      </c>
      <c r="E42" s="45" t="n">
        <v>713</v>
      </c>
      <c r="F42" s="45" t="n">
        <v>785</v>
      </c>
      <c r="G42" s="45" t="n">
        <v>724</v>
      </c>
      <c r="H42" s="45" t="n">
        <v>785</v>
      </c>
      <c r="I42" s="45" t="n">
        <v>775</v>
      </c>
      <c r="J42" s="45" t="n">
        <v>868</v>
      </c>
      <c r="K42" s="45" t="n">
        <v>839</v>
      </c>
      <c r="L42" s="45" t="n">
        <v>838</v>
      </c>
      <c r="M42" s="45" t="n">
        <v>900</v>
      </c>
      <c r="N42" s="45" t="n">
        <v>853</v>
      </c>
      <c r="O42" s="45" t="n">
        <v>873</v>
      </c>
      <c r="P42" s="6" t="n">
        <v>824</v>
      </c>
      <c r="Q42" s="6" t="n">
        <v>690</v>
      </c>
      <c r="R42" s="6" t="n">
        <v>711</v>
      </c>
      <c r="S42" s="6" t="n">
        <v>690</v>
      </c>
      <c r="T42" s="6" t="n">
        <v>706</v>
      </c>
      <c r="U42" s="6" t="n">
        <v>747</v>
      </c>
      <c r="V42" s="6" t="n"/>
      <c r="W42" s="6" t="n"/>
      <c r="X42" s="6" t="n"/>
      <c r="Y42" s="6" t="n"/>
      <c r="Z42" s="6" t="n"/>
      <c r="AA42" s="6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33" t="n"/>
      <c r="AO42" s="33" t="n">
        <v>9766</v>
      </c>
      <c r="AP42" s="8">
        <f>SUM(P42:AA42)</f>
        <v/>
      </c>
      <c r="AQ42" s="8">
        <f>SUM(AB42:AM42)</f>
        <v/>
      </c>
      <c r="AR42" s="17" t="inlineStr">
        <is>
          <t>https://ec.europa.eu/eurostat/databrowser/view/demo_fmonth/default/table?lang=en</t>
        </is>
      </c>
      <c r="AS42" s="9" t="inlineStr">
        <is>
          <t>Eurostat demo_fmonth — 2024 full year; 2025 Jan–Jun (6 mo).</t>
        </is>
      </c>
      <c r="AT42" s="50" t="inlineStr">
        <is>
          <t>NSO</t>
        </is>
      </c>
    </row>
    <row r="43">
      <c r="A43" s="3" t="inlineStr">
        <is>
          <t>DNK</t>
        </is>
      </c>
      <c r="B43" s="4" t="inlineStr">
        <is>
          <t>Denmark</t>
        </is>
      </c>
      <c r="C43" s="5" t="inlineStr">
        <is>
          <t>Western &amp; Northern Europe</t>
        </is>
      </c>
      <c r="D43" s="45" t="n">
        <v>4542</v>
      </c>
      <c r="E43" s="45" t="n">
        <v>4561</v>
      </c>
      <c r="F43" s="45" t="n">
        <v>4707</v>
      </c>
      <c r="G43" s="45" t="n">
        <v>4727</v>
      </c>
      <c r="H43" s="45" t="n">
        <v>4896</v>
      </c>
      <c r="I43" s="45" t="n">
        <v>4728</v>
      </c>
      <c r="J43" s="45" t="n">
        <v>5131</v>
      </c>
      <c r="K43" s="45" t="n">
        <v>5008</v>
      </c>
      <c r="L43" s="45" t="n">
        <v>4801</v>
      </c>
      <c r="M43" s="45" t="n">
        <v>4882</v>
      </c>
      <c r="N43" s="45" t="n">
        <v>4660</v>
      </c>
      <c r="O43" s="45" t="n">
        <v>4436</v>
      </c>
      <c r="P43" s="6" t="n">
        <v>4793</v>
      </c>
      <c r="Q43" s="6" t="n">
        <v>4434</v>
      </c>
      <c r="R43" s="6" t="n">
        <v>4912</v>
      </c>
      <c r="S43" s="6" t="n">
        <v>4700</v>
      </c>
      <c r="T43" s="6" t="n">
        <v>5246</v>
      </c>
      <c r="U43" s="6" t="n">
        <v>5018</v>
      </c>
      <c r="V43" s="6" t="n">
        <v>5454</v>
      </c>
      <c r="W43" s="6" t="n">
        <v>5414</v>
      </c>
      <c r="X43" s="6" t="n">
        <v>5205</v>
      </c>
      <c r="Y43" s="6" t="n">
        <v>5205</v>
      </c>
      <c r="Z43" s="6" t="n">
        <v>4578</v>
      </c>
      <c r="AA43" s="6" t="n">
        <v>4484</v>
      </c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33" t="n"/>
      <c r="AO43" s="33" t="n">
        <v>57079</v>
      </c>
      <c r="AP43" s="8">
        <f>SUM(P43:AA43)</f>
        <v/>
      </c>
      <c r="AQ43" s="8">
        <f>SUM(AB43:AM43)</f>
        <v/>
      </c>
      <c r="AR43" s="17" t="inlineStr">
        <is>
          <t>https://m.statbank.dk/Data</t>
        </is>
      </c>
      <c r="AS43" s="9" t="inlineStr">
        <is>
          <t>Monthly - 6 month lag</t>
        </is>
      </c>
      <c r="AT43" s="50" t="inlineStr">
        <is>
          <t>NSO</t>
        </is>
      </c>
    </row>
    <row r="44">
      <c r="A44" s="3" t="inlineStr">
        <is>
          <t>FIN</t>
        </is>
      </c>
      <c r="B44" s="4" t="inlineStr">
        <is>
          <t>Finland</t>
        </is>
      </c>
      <c r="C44" s="5" t="inlineStr">
        <is>
          <t>Western &amp; Northern Europe</t>
        </is>
      </c>
      <c r="D44" s="44" t="n">
        <v>3712</v>
      </c>
      <c r="E44" s="44" t="n">
        <v>3436</v>
      </c>
      <c r="F44" s="44" t="n">
        <v>3690</v>
      </c>
      <c r="G44" s="44" t="n">
        <v>3613</v>
      </c>
      <c r="H44" s="44" t="n">
        <v>3744</v>
      </c>
      <c r="I44" s="44" t="n">
        <v>3733</v>
      </c>
      <c r="J44" s="44" t="n">
        <v>3862</v>
      </c>
      <c r="K44" s="44" t="n">
        <v>3676</v>
      </c>
      <c r="L44" s="44" t="n">
        <v>3677</v>
      </c>
      <c r="M44" s="44" t="n">
        <v>3753</v>
      </c>
      <c r="N44" s="44" t="n">
        <v>3446</v>
      </c>
      <c r="O44" s="44" t="n">
        <v>3378</v>
      </c>
      <c r="P44" s="44" t="n">
        <v>3839</v>
      </c>
      <c r="Q44" s="44" t="n">
        <v>3311</v>
      </c>
      <c r="R44" s="44" t="n">
        <v>3755</v>
      </c>
      <c r="S44" s="44" t="n">
        <v>3674</v>
      </c>
      <c r="T44" s="44" t="n">
        <v>3858</v>
      </c>
      <c r="U44" s="44" t="n">
        <v>3972</v>
      </c>
      <c r="V44" s="44" t="n">
        <v>4090</v>
      </c>
      <c r="W44" s="44" t="n">
        <v>4040</v>
      </c>
      <c r="X44" s="44" t="n">
        <v>3959</v>
      </c>
      <c r="Y44" s="44" t="n">
        <v>4110</v>
      </c>
      <c r="Z44" s="44" t="n">
        <v>3657</v>
      </c>
      <c r="AA44" s="44" t="n">
        <v>3570</v>
      </c>
      <c r="AB44" s="44" t="n">
        <v>4062</v>
      </c>
      <c r="AC44" s="44" t="n">
        <v>3632</v>
      </c>
      <c r="AD44" s="44" t="n">
        <v>3856</v>
      </c>
      <c r="AE44" s="44" t="n">
        <v>3873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33" t="n"/>
      <c r="AO44" s="33" t="n">
        <v>43720</v>
      </c>
      <c r="AP44" s="8">
        <f>SUM(P44:AA44)</f>
        <v/>
      </c>
      <c r="AQ44" s="8">
        <f>SUM(AB44:AM44)</f>
        <v/>
      </c>
      <c r="AR44" s="16" t="inlineStr">
        <is>
          <t>https://pxdata.stat.fi/PxWeb/pxweb/en/StatFin/StatFin__vamuu/11ll.px/table/tableViewLayout1/</t>
        </is>
      </c>
      <c r="AS44" s="9" t="inlineStr">
        <is>
          <t>Monthly - 1 month lag</t>
        </is>
      </c>
      <c r="AT44" s="50" t="inlineStr">
        <is>
          <t>NSO</t>
        </is>
      </c>
    </row>
    <row r="45">
      <c r="A45" s="3" t="inlineStr">
        <is>
          <t>FRA</t>
        </is>
      </c>
      <c r="B45" s="4" t="inlineStr">
        <is>
          <t>France</t>
        </is>
      </c>
      <c r="C45" s="5" t="inlineStr">
        <is>
          <t>Western &amp; Northern Europe</t>
        </is>
      </c>
      <c r="D45" s="45" t="n">
        <v>56256</v>
      </c>
      <c r="E45" s="45" t="n">
        <v>52845</v>
      </c>
      <c r="F45" s="45" t="n">
        <v>54787</v>
      </c>
      <c r="G45" s="45" t="n">
        <v>53341</v>
      </c>
      <c r="H45" s="45" t="n">
        <v>56583</v>
      </c>
      <c r="I45" s="45" t="n">
        <v>52826</v>
      </c>
      <c r="J45" s="45" t="n">
        <v>57691</v>
      </c>
      <c r="K45" s="45" t="n">
        <v>56856</v>
      </c>
      <c r="L45" s="45" t="n">
        <v>55274</v>
      </c>
      <c r="M45" s="45" t="n">
        <v>57252</v>
      </c>
      <c r="N45" s="45" t="n">
        <v>53467</v>
      </c>
      <c r="O45" s="45" t="n">
        <v>54058</v>
      </c>
      <c r="P45" s="6" t="n">
        <v>52141</v>
      </c>
      <c r="Q45" s="6" t="n">
        <v>46703</v>
      </c>
      <c r="R45" s="6" t="n">
        <v>50582</v>
      </c>
      <c r="S45" s="6" t="n">
        <v>48697</v>
      </c>
      <c r="T45" s="6" t="n">
        <v>50914</v>
      </c>
      <c r="U45" s="6" t="n">
        <v>51458</v>
      </c>
      <c r="V45" s="6" t="n">
        <v>54524</v>
      </c>
      <c r="W45" s="6" t="n">
        <v>52678</v>
      </c>
      <c r="X45" s="6" t="n">
        <v>50629</v>
      </c>
      <c r="Y45" s="6" t="n">
        <v>52382</v>
      </c>
      <c r="Z45" s="6" t="n">
        <v>48773</v>
      </c>
      <c r="AA45" s="6" t="n">
        <v>50800</v>
      </c>
      <c r="AB45" s="7" t="n">
        <v>51658</v>
      </c>
      <c r="AC45" s="7" t="n">
        <v>45846</v>
      </c>
      <c r="AD45" s="7" t="n">
        <v>49267</v>
      </c>
      <c r="AE45" s="7" t="n">
        <v>47697</v>
      </c>
      <c r="AF45" s="7" t="n"/>
      <c r="AG45" s="7" t="n"/>
      <c r="AH45" s="7" t="n"/>
      <c r="AI45" s="7" t="n"/>
      <c r="AJ45" s="7" t="n"/>
      <c r="AK45" s="7" t="n"/>
      <c r="AL45" s="7" t="n"/>
      <c r="AM45" s="7" t="n"/>
      <c r="AN45" s="33" t="n"/>
      <c r="AO45" s="33" t="n">
        <v>661236</v>
      </c>
      <c r="AP45" s="8">
        <f>SUM(P45:AA45)</f>
        <v/>
      </c>
      <c r="AQ45" s="8">
        <f>SUM(AB45:AM45)</f>
        <v/>
      </c>
      <c r="AR45" s="16" t="inlineStr">
        <is>
          <t>https://www.insee.fr/en/statistiques/serie/000436391?utm_source=chatgpt.com</t>
        </is>
      </c>
      <c r="AS45" s="9" t="inlineStr">
        <is>
          <t>Monthly - 1 month lag</t>
        </is>
      </c>
      <c r="AT45" s="50" t="inlineStr">
        <is>
          <t>NSO</t>
        </is>
      </c>
    </row>
    <row r="46">
      <c r="A46" s="3" t="inlineStr">
        <is>
          <t>DEU</t>
        </is>
      </c>
      <c r="B46" s="4" t="inlineStr">
        <is>
          <t>Germany</t>
        </is>
      </c>
      <c r="C46" s="5" t="inlineStr">
        <is>
          <t>Western &amp; Northern Europe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 t="n">
        <v>54382</v>
      </c>
      <c r="Q46" s="6" t="n">
        <v>49212</v>
      </c>
      <c r="R46" s="6" t="n">
        <v>53637</v>
      </c>
      <c r="S46" s="6" t="n">
        <v>52386</v>
      </c>
      <c r="T46" s="6" t="n">
        <v>55286</v>
      </c>
      <c r="U46" s="6" t="n">
        <v>54865</v>
      </c>
      <c r="V46" s="6" t="n">
        <v>61104</v>
      </c>
      <c r="W46" s="6" t="n">
        <v>59418</v>
      </c>
      <c r="X46" s="6" t="n">
        <v>58105</v>
      </c>
      <c r="Y46" s="6" t="n">
        <v>55342</v>
      </c>
      <c r="Z46" s="6" t="n">
        <v>49530</v>
      </c>
      <c r="AA46" s="6" t="n">
        <v>51002</v>
      </c>
      <c r="AB46" s="7" t="n">
        <v>52314</v>
      </c>
      <c r="AC46" s="7" t="n">
        <v>47643</v>
      </c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33" t="n"/>
      <c r="AO46" s="33" t="n">
        <v>677117</v>
      </c>
      <c r="AP46" s="8">
        <f>SUM(P46:AA46)</f>
        <v/>
      </c>
      <c r="AQ46" s="8">
        <f>SUM(AB46:AM46)</f>
        <v/>
      </c>
      <c r="AR46" s="17" t="inlineStr">
        <is>
          <t>https://genesis.destatis.de/datenbank/online/statistic/12612/table/12612-0002</t>
        </is>
      </c>
      <c r="AS46" s="9" t="inlineStr">
        <is>
          <t>Monthly - 3+ month lag</t>
        </is>
      </c>
      <c r="AT46" s="50" t="inlineStr">
        <is>
          <t>NSO</t>
        </is>
      </c>
    </row>
    <row r="47">
      <c r="A47" s="3" t="inlineStr">
        <is>
          <t>GRC</t>
        </is>
      </c>
      <c r="B47" s="4" t="inlineStr">
        <is>
          <t>Greece</t>
        </is>
      </c>
      <c r="C47" s="5" t="inlineStr">
        <is>
          <t>Western &amp; Northern Europe</t>
        </is>
      </c>
      <c r="D47" s="45" t="n">
        <v>6265</v>
      </c>
      <c r="E47" s="45" t="n">
        <v>5476</v>
      </c>
      <c r="F47" s="45" t="n">
        <v>5519</v>
      </c>
      <c r="G47" s="45" t="n">
        <v>5317</v>
      </c>
      <c r="H47" s="45" t="n">
        <v>5153</v>
      </c>
      <c r="I47" s="45" t="n">
        <v>5292</v>
      </c>
      <c r="J47" s="45" t="n">
        <v>6081</v>
      </c>
      <c r="K47" s="45" t="n">
        <v>5627</v>
      </c>
      <c r="L47" s="45" t="n">
        <v>5802</v>
      </c>
      <c r="M47" s="45" t="n">
        <v>6206</v>
      </c>
      <c r="N47" s="45" t="n">
        <v>5965</v>
      </c>
      <c r="O47" s="45" t="n">
        <v>5606</v>
      </c>
      <c r="P47" s="6" t="n">
        <v>5631</v>
      </c>
      <c r="Q47" s="6" t="n">
        <v>5126</v>
      </c>
      <c r="R47" s="6" t="n">
        <v>5088</v>
      </c>
      <c r="S47" s="6" t="n">
        <v>4802</v>
      </c>
      <c r="T47" s="6" t="n">
        <v>5293</v>
      </c>
      <c r="U47" s="6" t="n">
        <v>5343</v>
      </c>
      <c r="V47" s="6" t="n">
        <v>6111</v>
      </c>
      <c r="W47" s="6" t="n">
        <v>5693</v>
      </c>
      <c r="X47" s="6" t="n">
        <v>5364</v>
      </c>
      <c r="Y47" s="6" t="n"/>
      <c r="Z47" s="6" t="n"/>
      <c r="AA47" s="6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33" t="n"/>
      <c r="AO47" s="33" t="n">
        <v>68309</v>
      </c>
      <c r="AP47" s="8">
        <f>SUM(P47:AA47)</f>
        <v/>
      </c>
      <c r="AQ47" s="8">
        <f>SUM(AB47:AM47)</f>
        <v/>
      </c>
      <c r="AR47" s="17" t="inlineStr">
        <is>
          <t>https://www.statistics.gr/en/home</t>
        </is>
      </c>
      <c r="AS47" s="9" t="inlineStr">
        <is>
          <t>Can't Access</t>
        </is>
      </c>
      <c r="AT47" s="50" t="inlineStr">
        <is>
          <t>DRE</t>
        </is>
      </c>
    </row>
    <row r="48">
      <c r="A48" s="3" t="inlineStr">
        <is>
          <t>ISL</t>
        </is>
      </c>
      <c r="B48" s="4" t="inlineStr">
        <is>
          <t>Iceland</t>
        </is>
      </c>
      <c r="C48" s="5" t="inlineStr">
        <is>
          <t>Western &amp; Northern Europe</t>
        </is>
      </c>
      <c r="D48" s="45" t="n">
        <v>349</v>
      </c>
      <c r="E48" s="45" t="n">
        <v>334</v>
      </c>
      <c r="F48" s="45" t="n">
        <v>353</v>
      </c>
      <c r="G48" s="45" t="n">
        <v>360</v>
      </c>
      <c r="H48" s="45" t="n">
        <v>374</v>
      </c>
      <c r="I48" s="45" t="n">
        <v>338</v>
      </c>
      <c r="J48" s="45" t="n">
        <v>382</v>
      </c>
      <c r="K48" s="45" t="n">
        <v>385</v>
      </c>
      <c r="L48" s="45" t="n">
        <v>379</v>
      </c>
      <c r="M48" s="45" t="n">
        <v>387</v>
      </c>
      <c r="N48" s="45" t="n">
        <v>338</v>
      </c>
      <c r="O48" s="45" t="n">
        <v>332</v>
      </c>
      <c r="P48" s="6" t="n">
        <v>327</v>
      </c>
      <c r="Q48" s="6" t="n">
        <v>348</v>
      </c>
      <c r="R48" s="6" t="n">
        <v>303</v>
      </c>
      <c r="S48" s="6" t="n">
        <v>398</v>
      </c>
      <c r="T48" s="6" t="n">
        <v>351</v>
      </c>
      <c r="U48" s="6" t="n">
        <v>364</v>
      </c>
      <c r="V48" s="6" t="n">
        <v>382</v>
      </c>
      <c r="W48" s="6" t="n">
        <v>380</v>
      </c>
      <c r="X48" s="6" t="n">
        <v>346</v>
      </c>
      <c r="Y48" s="6" t="n"/>
      <c r="Z48" s="6" t="n"/>
      <c r="AA48" s="6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33" t="n"/>
      <c r="AO48" s="33" t="n">
        <v>4311</v>
      </c>
      <c r="AP48" s="8" t="n">
        <v>4387</v>
      </c>
      <c r="AQ48" s="8">
        <f>SUM(AB48:AM48)</f>
        <v/>
      </c>
      <c r="AR48" s="17" t="inlineStr">
        <is>
          <t>https://www.statice.is/statistics/population/births-and-deaths/births/</t>
        </is>
      </c>
      <c r="AS48" s="9" t="inlineStr">
        <is>
          <t>Annual - 3 month lag</t>
        </is>
      </c>
      <c r="AT48" s="50" t="inlineStr">
        <is>
          <t>NSO</t>
        </is>
      </c>
    </row>
    <row r="49">
      <c r="A49" s="3" t="inlineStr">
        <is>
          <t>IRL</t>
        </is>
      </c>
      <c r="B49" s="4" t="inlineStr">
        <is>
          <t>Ireland</t>
        </is>
      </c>
      <c r="C49" s="5" t="inlineStr">
        <is>
          <t>Western &amp; Northern Europe</t>
        </is>
      </c>
      <c r="D49" s="45" t="n">
        <v>4494</v>
      </c>
      <c r="E49" s="49" t="n">
        <v>4494</v>
      </c>
      <c r="F49" s="49" t="n">
        <v>4494</v>
      </c>
      <c r="G49" s="45" t="n">
        <v>4451.333333333333</v>
      </c>
      <c r="H49" s="45" t="n">
        <v>4451.333333333333</v>
      </c>
      <c r="I49" s="45" t="n">
        <v>4451.333333333333</v>
      </c>
      <c r="J49" s="45" t="n">
        <v>4603</v>
      </c>
      <c r="K49" s="45" t="n">
        <v>4603</v>
      </c>
      <c r="L49" s="45" t="n">
        <v>4603</v>
      </c>
      <c r="M49" s="45" t="n">
        <v>4472.333333333333</v>
      </c>
      <c r="N49" s="49" t="n">
        <v>4472</v>
      </c>
      <c r="O49" s="49" t="n">
        <v>4472</v>
      </c>
      <c r="P49" s="6" t="n">
        <v>4555</v>
      </c>
      <c r="Q49" s="28" t="n">
        <v>4555</v>
      </c>
      <c r="R49" s="28" t="n">
        <v>4555</v>
      </c>
      <c r="S49" s="6" t="n">
        <v>4428</v>
      </c>
      <c r="T49" s="28" t="n">
        <v>4428</v>
      </c>
      <c r="U49" s="28" t="n">
        <v>4428</v>
      </c>
      <c r="V49" s="6" t="n">
        <v>4686</v>
      </c>
      <c r="W49" s="28" t="n">
        <v>4686</v>
      </c>
      <c r="X49" s="28" t="n">
        <v>4686</v>
      </c>
      <c r="Y49" s="6" t="n">
        <v>4372.666666666667</v>
      </c>
      <c r="Z49" s="28" t="n">
        <v>4373</v>
      </c>
      <c r="AA49" s="28" t="n">
        <v>4373</v>
      </c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33" t="n"/>
      <c r="AO49" s="33">
        <f>SUM(D49:O49)</f>
        <v/>
      </c>
      <c r="AP49" s="8">
        <f>SUM(P49:AA49)</f>
        <v/>
      </c>
      <c r="AQ49" s="8">
        <f>SUM(AB49:AM49)</f>
        <v/>
      </c>
      <c r="AR49" s="17" t="inlineStr">
        <is>
          <t>https://www.cso.ie/en/releasesandpublications/ep/p-vs/vitalstatisticsfourthquarter2025/data/</t>
        </is>
      </c>
      <c r="AS49" s="9" t="inlineStr">
        <is>
          <t>Quarterly - 6+ month lag</t>
        </is>
      </c>
      <c r="AT49" s="50" t="inlineStr">
        <is>
          <t>DRE</t>
        </is>
      </c>
    </row>
    <row r="50">
      <c r="A50" s="3" t="inlineStr">
        <is>
          <t>ITA</t>
        </is>
      </c>
      <c r="B50" s="4" t="inlineStr">
        <is>
          <t>Italy</t>
        </is>
      </c>
      <c r="C50" s="5" t="inlineStr">
        <is>
          <t>Western &amp; Northern Europe</t>
        </is>
      </c>
      <c r="D50" s="45" t="n">
        <v>32797</v>
      </c>
      <c r="E50" s="45" t="n">
        <v>29329</v>
      </c>
      <c r="F50" s="45" t="n">
        <v>30162</v>
      </c>
      <c r="G50" s="45" t="n">
        <v>27614</v>
      </c>
      <c r="H50" s="45" t="n">
        <v>29875</v>
      </c>
      <c r="I50" s="45" t="n">
        <v>29055</v>
      </c>
      <c r="J50" s="45" t="n">
        <v>32418</v>
      </c>
      <c r="K50" s="45" t="n">
        <v>31621</v>
      </c>
      <c r="L50" s="45" t="n">
        <v>31783</v>
      </c>
      <c r="M50" s="45" t="n">
        <v>32656</v>
      </c>
      <c r="N50" s="45" t="n">
        <v>31425</v>
      </c>
      <c r="O50" s="45" t="n">
        <v>31209</v>
      </c>
      <c r="P50" s="6" t="n">
        <v>31000</v>
      </c>
      <c r="Q50" s="6" t="n">
        <v>26325</v>
      </c>
      <c r="R50" s="6" t="n">
        <v>28236</v>
      </c>
      <c r="S50" s="6" t="n">
        <v>25903</v>
      </c>
      <c r="T50" s="6" t="n">
        <v>27231</v>
      </c>
      <c r="U50" s="6" t="n">
        <v>28255</v>
      </c>
      <c r="V50" s="6" t="n">
        <v>32090</v>
      </c>
      <c r="W50" s="6" t="n">
        <v>31757</v>
      </c>
      <c r="X50" s="6" t="n">
        <v>32773</v>
      </c>
      <c r="Y50" s="6" t="n">
        <v>32269</v>
      </c>
      <c r="Z50" s="6" t="n">
        <v>29335</v>
      </c>
      <c r="AA50" s="6" t="n">
        <v>30422</v>
      </c>
      <c r="AB50" s="7" t="n">
        <v>30139</v>
      </c>
      <c r="AC50" s="7" t="n">
        <v>26048</v>
      </c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33" t="n"/>
      <c r="AO50" s="33" t="n">
        <v>369944</v>
      </c>
      <c r="AP50" s="8">
        <f>SUM(P50:AA50)</f>
        <v/>
      </c>
      <c r="AQ50" s="8">
        <f>SUM(AB50:AM50)</f>
        <v/>
      </c>
      <c r="AR50" s="17" t="inlineStr">
        <is>
          <t>https://ec.europa.eu/eurostat/databrowser/view/demo_fmonth/default/table?lang=en</t>
        </is>
      </c>
      <c r="AS50" s="9" t="inlineStr">
        <is>
          <t>Eurostat demo_fmonth — 2024 full year; 2025 Jan–Aug (8 mo).</t>
        </is>
      </c>
      <c r="AT50" s="50" t="inlineStr">
        <is>
          <t>NSO</t>
        </is>
      </c>
    </row>
    <row r="51">
      <c r="A51" s="3" t="inlineStr">
        <is>
          <t>LUX</t>
        </is>
      </c>
      <c r="B51" s="4" t="inlineStr">
        <is>
          <t>Luxembourg</t>
        </is>
      </c>
      <c r="C51" s="5" t="inlineStr">
        <is>
          <t>Western &amp; Northern Europe</t>
        </is>
      </c>
      <c r="D51" s="45" t="n">
        <v>543</v>
      </c>
      <c r="E51" s="45" t="n">
        <v>478</v>
      </c>
      <c r="F51" s="45" t="n">
        <v>546</v>
      </c>
      <c r="G51" s="45" t="n">
        <v>532</v>
      </c>
      <c r="H51" s="45" t="n">
        <v>546</v>
      </c>
      <c r="I51" s="45" t="n">
        <v>499</v>
      </c>
      <c r="J51" s="45" t="n">
        <v>559</v>
      </c>
      <c r="K51" s="45" t="n">
        <v>550</v>
      </c>
      <c r="L51" s="45" t="n">
        <v>547</v>
      </c>
      <c r="M51" s="45" t="n">
        <v>606</v>
      </c>
      <c r="N51" s="45" t="n">
        <v>509</v>
      </c>
      <c r="O51" s="45" t="n">
        <v>544</v>
      </c>
      <c r="P51" s="6" t="n">
        <v>526</v>
      </c>
      <c r="Q51" s="6" t="n">
        <v>492</v>
      </c>
      <c r="R51" s="6" t="n">
        <v>501</v>
      </c>
      <c r="S51" s="6" t="n">
        <v>493</v>
      </c>
      <c r="T51" s="6" t="n">
        <v>532</v>
      </c>
      <c r="U51" s="6" t="n">
        <v>565</v>
      </c>
      <c r="V51" s="6" t="n">
        <v>575</v>
      </c>
      <c r="W51" s="6" t="n">
        <v>549</v>
      </c>
      <c r="X51" s="6" t="n">
        <v>521</v>
      </c>
      <c r="Y51" s="6" t="n"/>
      <c r="Z51" s="6" t="n"/>
      <c r="AA51" s="6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33" t="n"/>
      <c r="AO51" s="33" t="n">
        <v>6459</v>
      </c>
      <c r="AP51" s="8" t="n">
        <v>6439</v>
      </c>
      <c r="AQ51" s="8">
        <f>SUM(AB51:AM51)</f>
        <v/>
      </c>
      <c r="AR51" s="17" t="inlineStr">
        <is>
          <t>https://ec.europa.eu/eurostat/databrowser/view/demo_fmonth/default/table?lang=en</t>
        </is>
      </c>
      <c r="AS51" s="65" t="inlineStr">
        <is>
          <t>Eurostat demo_fmonth — 2024 full year; 2025 Jan–Aug (8 mo).</t>
        </is>
      </c>
      <c r="AT51" s="50" t="inlineStr">
        <is>
          <t>NSO</t>
        </is>
      </c>
    </row>
    <row r="52">
      <c r="A52" s="3" t="inlineStr">
        <is>
          <t>MLT</t>
        </is>
      </c>
      <c r="B52" s="4" t="inlineStr">
        <is>
          <t>Malta</t>
        </is>
      </c>
      <c r="C52" s="5" t="inlineStr">
        <is>
          <t>Western &amp; Northern Europe</t>
        </is>
      </c>
      <c r="D52" s="45" t="n">
        <v>346</v>
      </c>
      <c r="E52" s="45" t="n">
        <v>326</v>
      </c>
      <c r="F52" s="45" t="n">
        <v>344</v>
      </c>
      <c r="G52" s="45" t="n">
        <v>318</v>
      </c>
      <c r="H52" s="45" t="n">
        <v>336</v>
      </c>
      <c r="I52" s="45" t="n">
        <v>361</v>
      </c>
      <c r="J52" s="45" t="n">
        <v>363</v>
      </c>
      <c r="K52" s="45" t="n">
        <v>400</v>
      </c>
      <c r="L52" s="45" t="n">
        <v>401</v>
      </c>
      <c r="M52" s="45" t="n">
        <v>399</v>
      </c>
      <c r="N52" s="45" t="n">
        <v>404</v>
      </c>
      <c r="O52" s="45" t="n">
        <v>376</v>
      </c>
      <c r="P52" s="6" t="n">
        <v>364</v>
      </c>
      <c r="Q52" s="6" t="n">
        <v>322</v>
      </c>
      <c r="R52" s="6" t="n">
        <v>347</v>
      </c>
      <c r="S52" s="6" t="n">
        <v>326</v>
      </c>
      <c r="T52" s="6" t="n">
        <v>343</v>
      </c>
      <c r="U52" s="6" t="n">
        <v>341</v>
      </c>
      <c r="V52" s="6" t="n">
        <v>363</v>
      </c>
      <c r="W52" s="6" t="n">
        <v>387</v>
      </c>
      <c r="X52" s="6" t="n">
        <v>384</v>
      </c>
      <c r="Y52" s="6" t="n">
        <v>401</v>
      </c>
      <c r="Z52" s="6" t="n">
        <v>402</v>
      </c>
      <c r="AA52" s="6" t="n">
        <v>401</v>
      </c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33" t="n"/>
      <c r="AO52" s="33" t="n">
        <v>4374</v>
      </c>
      <c r="AP52" s="8">
        <f>SUM(P52:AA52)</f>
        <v/>
      </c>
      <c r="AQ52" s="8">
        <f>SUM(AB52:AM52)</f>
        <v/>
      </c>
      <c r="AR52" s="17" t="inlineStr">
        <is>
          <t>https://ec.europa.eu/eurostat/databrowser/view/demo_fmonth/default/table?lang=en</t>
        </is>
      </c>
      <c r="AS52" s="9" t="inlineStr">
        <is>
          <t>Eurostat demo_fmonth — 2024 full year; 2025 full year.</t>
        </is>
      </c>
      <c r="AT52" s="50" t="inlineStr">
        <is>
          <t>NSO</t>
        </is>
      </c>
    </row>
    <row r="53">
      <c r="A53" s="3" t="inlineStr">
        <is>
          <t>NLD</t>
        </is>
      </c>
      <c r="B53" s="4" t="inlineStr">
        <is>
          <t>Netherlands</t>
        </is>
      </c>
      <c r="C53" s="5" t="inlineStr">
        <is>
          <t>Western &amp; Northern Europe</t>
        </is>
      </c>
      <c r="D53" s="45" t="n">
        <v>13618</v>
      </c>
      <c r="E53" s="45" t="n">
        <v>12969</v>
      </c>
      <c r="F53" s="45" t="n">
        <v>13600</v>
      </c>
      <c r="G53" s="45" t="n">
        <v>13262</v>
      </c>
      <c r="H53" s="45" t="n">
        <v>14319</v>
      </c>
      <c r="I53" s="45" t="n">
        <v>13877</v>
      </c>
      <c r="J53" s="45" t="n">
        <v>14588</v>
      </c>
      <c r="K53" s="45" t="n">
        <v>14910</v>
      </c>
      <c r="L53" s="45" t="n">
        <v>14385</v>
      </c>
      <c r="M53" s="45" t="n">
        <v>14074</v>
      </c>
      <c r="N53" s="45" t="n">
        <v>13371</v>
      </c>
      <c r="O53" s="45" t="n">
        <v>13170</v>
      </c>
      <c r="P53" s="6" t="n">
        <v>13690</v>
      </c>
      <c r="Q53" s="6" t="n">
        <v>12148</v>
      </c>
      <c r="R53" s="6" t="n">
        <v>13289</v>
      </c>
      <c r="S53" s="6" t="n">
        <v>13434</v>
      </c>
      <c r="T53" s="6" t="n">
        <v>14331</v>
      </c>
      <c r="U53" s="6" t="n">
        <v>14021</v>
      </c>
      <c r="V53" s="6" t="n">
        <v>14964</v>
      </c>
      <c r="W53" s="6" t="n">
        <v>15082</v>
      </c>
      <c r="X53" s="6" t="n">
        <v>14521</v>
      </c>
      <c r="Y53" s="6" t="n">
        <v>14284</v>
      </c>
      <c r="Z53" s="6" t="n">
        <v>12853</v>
      </c>
      <c r="AA53" s="6" t="n">
        <v>13246</v>
      </c>
      <c r="AB53" s="7" t="n">
        <v>13945</v>
      </c>
      <c r="AC53" s="7" t="n">
        <v>12639</v>
      </c>
      <c r="AD53" s="7" t="n">
        <v>13496</v>
      </c>
      <c r="AE53" s="7" t="n">
        <v>13458</v>
      </c>
      <c r="AF53" s="7" t="n"/>
      <c r="AG53" s="7" t="n"/>
      <c r="AH53" s="7" t="n"/>
      <c r="AI53" s="7" t="n"/>
      <c r="AJ53" s="7" t="n"/>
      <c r="AK53" s="7" t="n"/>
      <c r="AL53" s="7" t="n"/>
      <c r="AM53" s="7" t="n"/>
      <c r="AN53" s="33" t="n"/>
      <c r="AO53" s="33" t="n">
        <v>166143</v>
      </c>
      <c r="AP53" s="8">
        <f>SUM(P53:AA53)</f>
        <v/>
      </c>
      <c r="AQ53" s="8">
        <f>SUM(AB53:AM53)</f>
        <v/>
      </c>
      <c r="AR53" s="16" t="inlineStr">
        <is>
          <t>https://www.cbs.nl/en-gb/figures/detail/83474eng</t>
        </is>
      </c>
      <c r="AS53" s="9" t="inlineStr">
        <is>
          <t>Monthly - 1 month lag</t>
        </is>
      </c>
      <c r="AT53" s="50" t="inlineStr">
        <is>
          <t>NSO</t>
        </is>
      </c>
    </row>
    <row r="54">
      <c r="A54" s="3" t="inlineStr">
        <is>
          <t>NOR</t>
        </is>
      </c>
      <c r="B54" s="4" t="inlineStr">
        <is>
          <t>Norway</t>
        </is>
      </c>
      <c r="C54" s="5" t="inlineStr">
        <is>
          <t>Western &amp; Northern Europe</t>
        </is>
      </c>
      <c r="D54" s="45" t="n">
        <v>4214</v>
      </c>
      <c r="E54" s="45" t="n">
        <v>4293</v>
      </c>
      <c r="F54" s="45" t="n">
        <v>4542</v>
      </c>
      <c r="G54" s="45" t="n">
        <v>4599</v>
      </c>
      <c r="H54" s="45" t="n">
        <v>4875</v>
      </c>
      <c r="I54" s="45" t="n">
        <v>4838</v>
      </c>
      <c r="J54" s="45" t="n">
        <v>4974</v>
      </c>
      <c r="K54" s="45" t="n">
        <v>4984</v>
      </c>
      <c r="L54" s="45" t="n">
        <v>4612</v>
      </c>
      <c r="M54" s="45" t="n">
        <v>4641</v>
      </c>
      <c r="N54" s="45" t="n">
        <v>4021</v>
      </c>
      <c r="O54" s="45" t="n">
        <v>3420</v>
      </c>
      <c r="P54" s="6" t="n">
        <v>4479</v>
      </c>
      <c r="Q54" s="6" t="n">
        <v>4141</v>
      </c>
      <c r="R54" s="6" t="n">
        <v>4494</v>
      </c>
      <c r="S54" s="6" t="n">
        <v>4650</v>
      </c>
      <c r="T54" s="6" t="n">
        <v>4961</v>
      </c>
      <c r="U54" s="6" t="n">
        <v>4904</v>
      </c>
      <c r="V54" s="6" t="n">
        <v>5206</v>
      </c>
      <c r="W54" s="6" t="n">
        <v>5269</v>
      </c>
      <c r="X54" s="6" t="n">
        <v>4952</v>
      </c>
      <c r="Y54" s="6" t="n">
        <v>4696</v>
      </c>
      <c r="Z54" s="6" t="n">
        <v>4089</v>
      </c>
      <c r="AA54" s="6" t="n">
        <v>3560</v>
      </c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33" t="n"/>
      <c r="AO54" s="33" t="n">
        <v>54013</v>
      </c>
      <c r="AP54" s="8">
        <f>SUM(P54:AA54)</f>
        <v/>
      </c>
      <c r="AQ54" s="8">
        <f>SUM(AB54:AM54)</f>
        <v/>
      </c>
      <c r="AR54" s="17" t="inlineStr">
        <is>
          <t>https://www.ssb.no/en/statbank/table/05531</t>
        </is>
      </c>
      <c r="AS54" s="9" t="inlineStr">
        <is>
          <t>Monthly - 3 month lag</t>
        </is>
      </c>
      <c r="AT54" s="50" t="inlineStr">
        <is>
          <t>NSO</t>
        </is>
      </c>
    </row>
    <row r="55">
      <c r="A55" s="3" t="inlineStr">
        <is>
          <t>PRT</t>
        </is>
      </c>
      <c r="B55" s="4" t="inlineStr">
        <is>
          <t>Portugal</t>
        </is>
      </c>
      <c r="C55" s="5" t="inlineStr">
        <is>
          <t>Western &amp; Northern Europe</t>
        </is>
      </c>
      <c r="D55" s="45" t="n">
        <v>7127</v>
      </c>
      <c r="E55" s="45" t="n">
        <v>6585</v>
      </c>
      <c r="F55" s="45" t="n">
        <v>6830</v>
      </c>
      <c r="G55" s="45" t="n">
        <v>6851</v>
      </c>
      <c r="H55" s="45" t="n">
        <v>7117</v>
      </c>
      <c r="I55" s="45" t="n">
        <v>6729</v>
      </c>
      <c r="J55" s="45" t="n">
        <v>7174</v>
      </c>
      <c r="K55" s="45" t="n">
        <v>7491</v>
      </c>
      <c r="L55" s="45" t="n">
        <v>7431</v>
      </c>
      <c r="M55" s="45" t="n">
        <v>7460</v>
      </c>
      <c r="N55" s="45" t="n">
        <v>7107</v>
      </c>
      <c r="O55" s="45" t="n">
        <v>7032</v>
      </c>
      <c r="P55" s="6" t="n">
        <v>7105</v>
      </c>
      <c r="Q55" s="6" t="n">
        <v>6417</v>
      </c>
      <c r="R55" s="6" t="n">
        <v>7007</v>
      </c>
      <c r="S55" s="6" t="n">
        <v>7029</v>
      </c>
      <c r="T55" s="6" t="n">
        <v>7374</v>
      </c>
      <c r="U55" s="6" t="n">
        <v>7239</v>
      </c>
      <c r="V55" s="6" t="n">
        <v>7802</v>
      </c>
      <c r="W55" s="6" t="n">
        <v>7559</v>
      </c>
      <c r="X55" s="6" t="n">
        <v>7913</v>
      </c>
      <c r="Y55" s="6" t="n">
        <v>7602</v>
      </c>
      <c r="Z55" s="6" t="n">
        <v>7483</v>
      </c>
      <c r="AA55" s="6" t="n">
        <v>7497</v>
      </c>
      <c r="AB55" s="7" t="n">
        <v>7414</v>
      </c>
      <c r="AC55" s="7" t="n">
        <v>6492</v>
      </c>
      <c r="AD55" s="7" t="n">
        <v>7195</v>
      </c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33" t="n"/>
      <c r="AO55" s="33" t="n">
        <v>84642</v>
      </c>
      <c r="AP55" s="8">
        <f>SUM(P55:AA55)</f>
        <v/>
      </c>
      <c r="AQ55" s="8">
        <f>SUM(AB55:AM55)</f>
        <v/>
      </c>
      <c r="AR55" s="17" t="inlineStr">
        <is>
          <t>https://www.ine.pt/ngt_server/attachfileu.jsp?att_display=n&amp;att_download=y&amp;look_parentBoui=793129631&amp;utm_source=chatgpt.com</t>
        </is>
      </c>
      <c r="AS55" s="9" t="inlineStr">
        <is>
          <t>Monthly - 2 month lag</t>
        </is>
      </c>
      <c r="AT55" s="50" t="inlineStr">
        <is>
          <t>NSO</t>
        </is>
      </c>
    </row>
    <row r="56">
      <c r="A56" s="3" t="inlineStr">
        <is>
          <t>ESP</t>
        </is>
      </c>
      <c r="B56" s="4" t="inlineStr">
        <is>
          <t>Spain</t>
        </is>
      </c>
      <c r="C56" s="5" t="inlineStr">
        <is>
          <t>Western &amp; Northern Europe</t>
        </is>
      </c>
      <c r="D56" s="45" t="n">
        <v>27061</v>
      </c>
      <c r="E56" s="45" t="n">
        <v>25278</v>
      </c>
      <c r="F56" s="45" t="n">
        <v>26106</v>
      </c>
      <c r="G56" s="45" t="n">
        <v>24594</v>
      </c>
      <c r="H56" s="45" t="n">
        <v>25788</v>
      </c>
      <c r="I56" s="45" t="n">
        <v>25340</v>
      </c>
      <c r="J56" s="45" t="n">
        <v>27280</v>
      </c>
      <c r="K56" s="45" t="n">
        <v>27420</v>
      </c>
      <c r="L56" s="45" t="n">
        <v>27028</v>
      </c>
      <c r="M56" s="45" t="n">
        <v>28227</v>
      </c>
      <c r="N56" s="45" t="n">
        <v>26661</v>
      </c>
      <c r="O56" s="45" t="n">
        <v>26472</v>
      </c>
      <c r="P56" s="6" t="n">
        <v>26831</v>
      </c>
      <c r="Q56" s="6" t="n">
        <v>24321</v>
      </c>
      <c r="R56" s="6" t="n">
        <v>26369</v>
      </c>
      <c r="S56" s="6" t="n">
        <v>25889</v>
      </c>
      <c r="T56" s="6" t="n">
        <v>25979</v>
      </c>
      <c r="U56" s="6" t="n">
        <v>25812</v>
      </c>
      <c r="V56" s="6" t="n">
        <v>27215</v>
      </c>
      <c r="W56" s="6" t="n">
        <v>27505</v>
      </c>
      <c r="X56" s="6" t="n">
        <v>28287</v>
      </c>
      <c r="Y56" s="6" t="n">
        <v>28741</v>
      </c>
      <c r="Z56" s="6" t="n">
        <v>27140</v>
      </c>
      <c r="AA56" s="6" t="n">
        <v>27427</v>
      </c>
      <c r="AB56" s="7" t="n">
        <v>27575</v>
      </c>
      <c r="AC56" s="7" t="n">
        <v>24412</v>
      </c>
      <c r="AD56" s="7" t="n">
        <v>26701</v>
      </c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33" t="n"/>
      <c r="AO56" s="33" t="n">
        <v>317255</v>
      </c>
      <c r="AP56" s="8">
        <f>SUM(P56:AD56)</f>
        <v/>
      </c>
      <c r="AQ56" s="8">
        <f>SUM(AB56:AM56)</f>
        <v/>
      </c>
      <c r="AR56" s="16" t="inlineStr">
        <is>
          <t>https://ine.es/dyngs/INEbase/en/operacion.htm?c=Estadistica_C&amp;cid=1254736177079&amp;menu=ultiDatos&amp;idp=1254735573002</t>
        </is>
      </c>
      <c r="AS56" s="9" t="inlineStr">
        <is>
          <t>Monthly - 2 month lag</t>
        </is>
      </c>
      <c r="AT56" s="50" t="inlineStr">
        <is>
          <t>NSO</t>
        </is>
      </c>
    </row>
    <row r="57">
      <c r="A57" s="3" t="inlineStr">
        <is>
          <t>SWE</t>
        </is>
      </c>
      <c r="B57" s="4" t="inlineStr">
        <is>
          <t>Sweden</t>
        </is>
      </c>
      <c r="C57" s="5" t="inlineStr">
        <is>
          <t>Western &amp; Northern Europe</t>
        </is>
      </c>
      <c r="D57" s="45" t="n">
        <v>7935</v>
      </c>
      <c r="E57" s="45" t="n">
        <v>7913</v>
      </c>
      <c r="F57" s="45" t="n">
        <v>8778</v>
      </c>
      <c r="G57" s="45" t="n">
        <v>8553</v>
      </c>
      <c r="H57" s="45" t="n">
        <v>8937</v>
      </c>
      <c r="I57" s="45" t="n">
        <v>8437</v>
      </c>
      <c r="J57" s="45" t="n">
        <v>8887</v>
      </c>
      <c r="K57" s="45" t="n">
        <v>8652</v>
      </c>
      <c r="L57" s="45" t="n">
        <v>7940</v>
      </c>
      <c r="M57" s="45" t="n">
        <v>8174</v>
      </c>
      <c r="N57" s="45" t="n">
        <v>7264</v>
      </c>
      <c r="O57" s="45" t="n">
        <v>6981</v>
      </c>
      <c r="P57" s="6" t="n">
        <v>7988</v>
      </c>
      <c r="Q57" s="6" t="n">
        <v>7590</v>
      </c>
      <c r="R57" s="6" t="n">
        <v>8328</v>
      </c>
      <c r="S57" s="6" t="n">
        <v>8278</v>
      </c>
      <c r="T57" s="6" t="n">
        <v>8978</v>
      </c>
      <c r="U57" s="6" t="n">
        <v>8544</v>
      </c>
      <c r="V57" s="6" t="n">
        <v>9060</v>
      </c>
      <c r="W57" s="6" t="n">
        <v>8662</v>
      </c>
      <c r="X57" s="6" t="n">
        <v>7969</v>
      </c>
      <c r="Y57" s="6" t="n">
        <v>8122</v>
      </c>
      <c r="Z57" s="6" t="n">
        <v>7035</v>
      </c>
      <c r="AA57" s="6" t="n">
        <v>6929</v>
      </c>
      <c r="AB57" s="7" t="n">
        <v>8071</v>
      </c>
      <c r="AC57" s="7" t="n">
        <v>7649</v>
      </c>
      <c r="AD57" s="7" t="n">
        <v>8469</v>
      </c>
      <c r="AE57" s="7" t="n">
        <v>8522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33" t="n"/>
      <c r="AO57" s="33" t="n">
        <v>98451</v>
      </c>
      <c r="AP57" s="8">
        <f>SUM(P57:AA57)</f>
        <v/>
      </c>
      <c r="AQ57" s="8">
        <f>SUM(AB57:AM57)</f>
        <v/>
      </c>
      <c r="AR57" s="16" t="inlineStr">
        <is>
          <t>https://www.statistikdatabasen.scb.se/pxweb/en/ssd/START__BE__BE0101__BE0101G/MBefStatRegionCKM/table/tableViewLayout1/</t>
        </is>
      </c>
      <c r="AS57" s="9" t="inlineStr">
        <is>
          <t>Monthly - 1 month lag</t>
        </is>
      </c>
      <c r="AT57" s="50" t="inlineStr">
        <is>
          <t>NSO</t>
        </is>
      </c>
    </row>
    <row r="58">
      <c r="A58" s="3" t="inlineStr">
        <is>
          <t>CHE</t>
        </is>
      </c>
      <c r="B58" s="4" t="inlineStr">
        <is>
          <t>Switzerland</t>
        </is>
      </c>
      <c r="C58" s="5" t="inlineStr">
        <is>
          <t>Western &amp; Northern Europe</t>
        </is>
      </c>
      <c r="D58" s="45" t="n">
        <v>6458</v>
      </c>
      <c r="E58" s="45" t="n">
        <v>6195</v>
      </c>
      <c r="F58" s="45" t="n">
        <v>6536</v>
      </c>
      <c r="G58" s="45" t="n">
        <v>6410</v>
      </c>
      <c r="H58" s="45" t="n">
        <v>6635</v>
      </c>
      <c r="I58" s="45" t="n">
        <v>6449</v>
      </c>
      <c r="J58" s="45" t="n">
        <v>6927</v>
      </c>
      <c r="K58" s="45" t="n">
        <v>6851</v>
      </c>
      <c r="L58" s="45" t="n">
        <v>6701</v>
      </c>
      <c r="M58" s="45" t="n">
        <v>6660</v>
      </c>
      <c r="N58" s="45" t="n">
        <v>6241</v>
      </c>
      <c r="O58" s="45" t="n">
        <v>6193</v>
      </c>
      <c r="P58" s="6" t="n">
        <v>6350</v>
      </c>
      <c r="Q58" s="6" t="n">
        <v>5815</v>
      </c>
      <c r="R58" s="6" t="n">
        <v>6218</v>
      </c>
      <c r="S58" s="6" t="n">
        <v>6185</v>
      </c>
      <c r="T58" s="6" t="n">
        <v>6450</v>
      </c>
      <c r="U58" s="6" t="n">
        <v>6353</v>
      </c>
      <c r="V58" s="6" t="n">
        <v>6876</v>
      </c>
      <c r="W58" s="6" t="n">
        <v>6302</v>
      </c>
      <c r="X58" s="6" t="n">
        <v>6161</v>
      </c>
      <c r="Y58" s="6" t="n">
        <v>6249</v>
      </c>
      <c r="Z58" s="6" t="n">
        <v>5794</v>
      </c>
      <c r="AA58" s="6" t="n">
        <v>6700</v>
      </c>
      <c r="AB58" s="7" t="n">
        <v>6049</v>
      </c>
      <c r="AC58" s="7" t="n">
        <v>6295</v>
      </c>
      <c r="AD58" s="7" t="n">
        <v>5990</v>
      </c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33" t="n"/>
      <c r="AO58" s="33" t="n">
        <v>78256</v>
      </c>
      <c r="AP58" s="8" t="n">
        <v>77902</v>
      </c>
      <c r="AQ58" s="8">
        <f>SUM(AB58:AM58)</f>
        <v/>
      </c>
      <c r="AR58" s="17" t="inlineStr">
        <is>
          <t>https://www.bfs.admin.ch/bfs/en/home/statistics/population.gnpdetail.2026-0145.html</t>
        </is>
      </c>
      <c r="AS58" s="9" t="inlineStr">
        <is>
          <t>Monthly - 2 month lag</t>
        </is>
      </c>
      <c r="AT58" s="50" t="inlineStr">
        <is>
          <t>DRE</t>
        </is>
      </c>
    </row>
    <row r="59">
      <c r="A59" s="3" t="inlineStr">
        <is>
          <t>GBR</t>
        </is>
      </c>
      <c r="B59" s="4" t="inlineStr">
        <is>
          <t>United Kingdom</t>
        </is>
      </c>
      <c r="C59" s="5" t="inlineStr">
        <is>
          <t>Western &amp; Northern Europe</t>
        </is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33" t="n"/>
      <c r="AO59" s="33" t="n"/>
      <c r="AP59" s="8">
        <f>SUM(P59:AA59)</f>
        <v/>
      </c>
      <c r="AQ59" s="8">
        <f>SUM(AB59:AM59)</f>
        <v/>
      </c>
      <c r="AR59" s="9" t="n"/>
      <c r="AS59" s="9" t="n"/>
      <c r="AT59" s="50" t="inlineStr">
        <is>
          <t>DRE</t>
        </is>
      </c>
    </row>
    <row r="60">
      <c r="A60" s="3" t="inlineStr">
        <is>
          <t>AND</t>
        </is>
      </c>
      <c r="B60" s="4" t="inlineStr">
        <is>
          <t>Andorra</t>
        </is>
      </c>
      <c r="C60" s="5" t="inlineStr">
        <is>
          <t>Western &amp; Northern Europe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33" t="n"/>
      <c r="AO60" s="33" t="n"/>
      <c r="AP60" s="8">
        <f>SUM(P60:AA60)</f>
        <v/>
      </c>
      <c r="AQ60" s="8">
        <f>SUM(AB60:AM60)</f>
        <v/>
      </c>
      <c r="AR60" s="9" t="n"/>
      <c r="AS60" s="9" t="n"/>
      <c r="AT60" s="50" t="inlineStr">
        <is>
          <t>DRE</t>
        </is>
      </c>
    </row>
    <row r="61">
      <c r="A61" s="3" t="inlineStr">
        <is>
          <t>FRO</t>
        </is>
      </c>
      <c r="B61" s="4" t="inlineStr">
        <is>
          <t>Faroe Islands</t>
        </is>
      </c>
      <c r="C61" s="5" t="inlineStr">
        <is>
          <t>Western &amp; Northern Europe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33" t="n"/>
      <c r="AO61" s="33" t="n"/>
      <c r="AP61" s="8">
        <f>SUM(P61:AA61)</f>
        <v/>
      </c>
      <c r="AQ61" s="8">
        <f>SUM(AB61:AM61)</f>
        <v/>
      </c>
      <c r="AR61" s="9" t="n"/>
      <c r="AS61" s="9" t="n"/>
      <c r="AT61" s="50" t="inlineStr">
        <is>
          <t>DRE</t>
        </is>
      </c>
    </row>
    <row r="62">
      <c r="A62" s="3" t="inlineStr">
        <is>
          <t>GIB</t>
        </is>
      </c>
      <c r="B62" s="4" t="inlineStr">
        <is>
          <t>Gibraltar</t>
        </is>
      </c>
      <c r="C62" s="5" t="inlineStr">
        <is>
          <t>Western &amp; Northern Europe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33" t="n"/>
      <c r="AO62" s="33" t="n"/>
      <c r="AP62" s="8">
        <f>SUM(P62:AA62)</f>
        <v/>
      </c>
      <c r="AQ62" s="8">
        <f>SUM(AB62:AM62)</f>
        <v/>
      </c>
      <c r="AR62" s="9" t="n"/>
      <c r="AS62" s="9" t="n"/>
      <c r="AT62" s="50" t="inlineStr">
        <is>
          <t>UN WPP 2024</t>
        </is>
      </c>
    </row>
    <row r="63">
      <c r="A63" s="3" t="inlineStr">
        <is>
          <t>GGY</t>
        </is>
      </c>
      <c r="B63" s="4" t="inlineStr">
        <is>
          <t>Guernsey</t>
        </is>
      </c>
      <c r="C63" s="5" t="inlineStr">
        <is>
          <t>Western &amp; Northern Europe</t>
        </is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33" t="n"/>
      <c r="AO63" s="33" t="n"/>
      <c r="AP63" s="8">
        <f>SUM(P63:AA63)</f>
        <v/>
      </c>
      <c r="AQ63" s="8">
        <f>SUM(AB63:AM63)</f>
        <v/>
      </c>
      <c r="AR63" s="9" t="n"/>
      <c r="AS63" s="9" t="n"/>
      <c r="AT63" s="50" t="inlineStr">
        <is>
          <t>UN WPP 2024</t>
        </is>
      </c>
    </row>
    <row r="64">
      <c r="A64" s="3" t="inlineStr">
        <is>
          <t>IMN</t>
        </is>
      </c>
      <c r="B64" s="4" t="inlineStr">
        <is>
          <t>Isle of Man</t>
        </is>
      </c>
      <c r="C64" s="5" t="inlineStr">
        <is>
          <t>Western &amp; Northern Europe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33" t="n"/>
      <c r="AO64" s="33" t="n"/>
      <c r="AP64" s="8">
        <f>SUM(P64:AA64)</f>
        <v/>
      </c>
      <c r="AQ64" s="8">
        <f>SUM(AB64:AM64)</f>
        <v/>
      </c>
      <c r="AR64" s="9" t="n"/>
      <c r="AS64" s="9" t="n"/>
      <c r="AT64" s="50" t="inlineStr">
        <is>
          <t>UN WPP 2024</t>
        </is>
      </c>
    </row>
    <row r="65">
      <c r="A65" s="3" t="inlineStr">
        <is>
          <t>JEY</t>
        </is>
      </c>
      <c r="B65" s="4" t="inlineStr">
        <is>
          <t>Jersey</t>
        </is>
      </c>
      <c r="C65" s="5" t="inlineStr">
        <is>
          <t>Western &amp; Northern Europe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33" t="n"/>
      <c r="AO65" s="33" t="n"/>
      <c r="AP65" s="8">
        <f>SUM(P65:AA65)</f>
        <v/>
      </c>
      <c r="AQ65" s="8">
        <f>SUM(AB65:AM65)</f>
        <v/>
      </c>
      <c r="AR65" s="9" t="n"/>
      <c r="AS65" s="9" t="n"/>
      <c r="AT65" s="50" t="inlineStr">
        <is>
          <t>UN WPP 2024</t>
        </is>
      </c>
    </row>
    <row r="66">
      <c r="A66" s="3" t="inlineStr">
        <is>
          <t>LIE</t>
        </is>
      </c>
      <c r="B66" s="4" t="inlineStr">
        <is>
          <t>Liechtenstein</t>
        </is>
      </c>
      <c r="C66" s="5" t="inlineStr">
        <is>
          <t>Western &amp; Northern Europe</t>
        </is>
      </c>
      <c r="D66" s="45" t="n">
        <v>27</v>
      </c>
      <c r="E66" s="45" t="n">
        <v>23</v>
      </c>
      <c r="F66" s="45" t="n">
        <v>27</v>
      </c>
      <c r="G66" s="45" t="n">
        <v>29</v>
      </c>
      <c r="H66" s="45" t="n">
        <v>31</v>
      </c>
      <c r="I66" s="45" t="n">
        <v>30</v>
      </c>
      <c r="J66" s="45" t="n">
        <v>35</v>
      </c>
      <c r="K66" s="45" t="n">
        <v>38</v>
      </c>
      <c r="L66" s="45" t="n">
        <v>31</v>
      </c>
      <c r="M66" s="45" t="n">
        <v>22</v>
      </c>
      <c r="N66" s="45" t="n">
        <v>22</v>
      </c>
      <c r="O66" s="45" t="n">
        <v>26</v>
      </c>
      <c r="P66" s="6" t="n">
        <v>30</v>
      </c>
      <c r="Q66" s="6" t="n">
        <v>23</v>
      </c>
      <c r="R66" s="6" t="n">
        <v>27</v>
      </c>
      <c r="S66" s="6" t="n">
        <v>27</v>
      </c>
      <c r="T66" s="6" t="n">
        <v>24</v>
      </c>
      <c r="U66" s="6" t="n">
        <v>28</v>
      </c>
      <c r="V66" s="6" t="n">
        <v>20</v>
      </c>
      <c r="W66" s="6" t="n">
        <v>26</v>
      </c>
      <c r="X66" s="6" t="n">
        <v>24</v>
      </c>
      <c r="Y66" s="6" t="n">
        <v>14</v>
      </c>
      <c r="Z66" s="6" t="n">
        <v>8</v>
      </c>
      <c r="AA66" s="6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33" t="n"/>
      <c r="AO66" s="33" t="n">
        <v>341</v>
      </c>
      <c r="AP66" s="8">
        <f>SUM(P66:AA66)</f>
        <v/>
      </c>
      <c r="AQ66" s="8">
        <f>SUM(AB66:AM66)</f>
        <v/>
      </c>
      <c r="AR66" s="17" t="inlineStr">
        <is>
          <t>https://ec.europa.eu/eurostat/databrowser/view/demo_fmonth/default/table?lang=en</t>
        </is>
      </c>
      <c r="AS66" s="9" t="inlineStr">
        <is>
          <t>Eurostat demo_fmonth — 2024 full year; 2025 Jan–Nov (11 mo).</t>
        </is>
      </c>
      <c r="AT66" s="50" t="inlineStr">
        <is>
          <t>NSO</t>
        </is>
      </c>
    </row>
    <row r="67">
      <c r="A67" s="3" t="inlineStr">
        <is>
          <t>MCO</t>
        </is>
      </c>
      <c r="B67" s="4" t="inlineStr">
        <is>
          <t>Monaco</t>
        </is>
      </c>
      <c r="C67" s="5" t="inlineStr">
        <is>
          <t>Western &amp; Northern Europe</t>
        </is>
      </c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33" t="n"/>
      <c r="AO67" s="33" t="n">
        <v>721</v>
      </c>
      <c r="AP67" s="8" t="n">
        <v>732</v>
      </c>
      <c r="AQ67" s="8">
        <f>SUM(AB67:AM67)</f>
        <v/>
      </c>
      <c r="AR67" s="17" t="inlineStr">
        <is>
          <t>https://www.google.com/url?sa=t&amp;source=web&amp;rct=j&amp;opi=89978449&amp;url=https://imsee.mc/en/content/download/304889/file/2025%2520Demography%2520Observatory.pdf%3FinLanguage%3Deng-GB%26version%3D3&amp;ved=2ahUKEwjwjYfH2vuUAxWTh68BHXYFBTkQFnoECBoQAQ&amp;usg=AOvVaw2zfoy-gd8M8GSDsHDc3ZML</t>
        </is>
      </c>
      <c r="AS67" s="9" t="inlineStr">
        <is>
          <t>Annual - 3+ month lag</t>
        </is>
      </c>
      <c r="AT67" s="50" t="inlineStr">
        <is>
          <t>NSO</t>
        </is>
      </c>
    </row>
    <row r="68">
      <c r="A68" s="3" t="inlineStr">
        <is>
          <t>SMR</t>
        </is>
      </c>
      <c r="B68" s="4" t="inlineStr">
        <is>
          <t>San Marino</t>
        </is>
      </c>
      <c r="C68" s="5" t="inlineStr">
        <is>
          <t>Western &amp; Northern Europe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33" t="n"/>
      <c r="AO68" s="33" t="n"/>
      <c r="AP68" s="8">
        <f>SUM(P68:AA68)</f>
        <v/>
      </c>
      <c r="AQ68" s="8">
        <f>SUM(AB68:AM68)</f>
        <v/>
      </c>
      <c r="AR68" s="9" t="n"/>
      <c r="AS68" s="9" t="n"/>
      <c r="AT68" s="50" t="inlineStr">
        <is>
          <t>DRE</t>
        </is>
      </c>
    </row>
    <row r="69">
      <c r="A69" s="40" t="inlineStr">
        <is>
          <t>CENTRAL &amp; EASTERN EUROPE</t>
        </is>
      </c>
      <c r="AN69" s="66" t="n"/>
      <c r="AP69" s="8">
        <f>SUM(P47:AA47)</f>
        <v/>
      </c>
      <c r="AQ69" s="8">
        <f>SUM(AB47:AM47)</f>
        <v/>
      </c>
    </row>
    <row r="70">
      <c r="A70" s="3" t="inlineStr">
        <is>
          <t>ALB</t>
        </is>
      </c>
      <c r="B70" s="4" t="inlineStr">
        <is>
          <t>Albania</t>
        </is>
      </c>
      <c r="C70" s="5" t="inlineStr">
        <is>
          <t>Central &amp; Eastern Europe</t>
        </is>
      </c>
      <c r="D70" s="45" t="n">
        <v>1985</v>
      </c>
      <c r="E70" s="45" t="n">
        <v>1679</v>
      </c>
      <c r="F70" s="45" t="n">
        <v>1764</v>
      </c>
      <c r="G70" s="45" t="n">
        <v>1735</v>
      </c>
      <c r="H70" s="45" t="n">
        <v>1790</v>
      </c>
      <c r="I70" s="45" t="n">
        <v>1855</v>
      </c>
      <c r="J70" s="45" t="n">
        <v>2138</v>
      </c>
      <c r="K70" s="45" t="n">
        <v>2132</v>
      </c>
      <c r="L70" s="45" t="n">
        <v>2213</v>
      </c>
      <c r="M70" s="45" t="n">
        <v>2183</v>
      </c>
      <c r="N70" s="45" t="n">
        <v>1858</v>
      </c>
      <c r="O70" s="45" t="n">
        <v>1978</v>
      </c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33" t="n"/>
      <c r="AO70" s="33" t="n">
        <v>23310</v>
      </c>
      <c r="AP70" s="8" t="n">
        <v>22541</v>
      </c>
      <c r="AQ70" s="8">
        <f>SUM(AB70:AM70)</f>
        <v/>
      </c>
      <c r="AR70" s="17" t="inlineStr">
        <is>
          <t>https://www.instat.gov.al/en/themes/demography-and-social-indicators/births-deaths-and-marriages/#tab2</t>
        </is>
      </c>
      <c r="AS70" s="9" t="inlineStr">
        <is>
          <t>Annual - 2 month lag</t>
        </is>
      </c>
      <c r="AT70" s="50" t="inlineStr">
        <is>
          <t>DRE</t>
        </is>
      </c>
    </row>
    <row r="71">
      <c r="A71" s="3" t="inlineStr">
        <is>
          <t>BLR</t>
        </is>
      </c>
      <c r="B71" s="4" t="inlineStr">
        <is>
          <t>Belarus</t>
        </is>
      </c>
      <c r="C71" s="5" t="inlineStr">
        <is>
          <t>Central &amp; Eastern Europe</t>
        </is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33" t="n"/>
      <c r="AO71" s="33" t="n">
        <v>58938</v>
      </c>
      <c r="AP71" s="8" t="n">
        <v>54257</v>
      </c>
      <c r="AQ71" s="8">
        <f>SUM(AB71:AM71)</f>
        <v/>
      </c>
      <c r="AR71" s="17" t="inlineStr">
        <is>
          <t>https://dataportal.belstat.gov.by/osids/indicator-info/10101200001</t>
        </is>
      </c>
      <c r="AS71" s="9" t="inlineStr">
        <is>
          <t>Annual - 5 month lag</t>
        </is>
      </c>
      <c r="AT71" s="50" t="inlineStr">
        <is>
          <t>NSO</t>
        </is>
      </c>
    </row>
    <row r="72">
      <c r="A72" s="3" t="inlineStr">
        <is>
          <t>BIH</t>
        </is>
      </c>
      <c r="B72" s="4" t="inlineStr">
        <is>
          <t>Bosnia &amp; Herz.</t>
        </is>
      </c>
      <c r="C72" s="5" t="inlineStr">
        <is>
          <t>Central &amp; Eastern Europe</t>
        </is>
      </c>
      <c r="D72" s="45" t="n">
        <v>2255</v>
      </c>
      <c r="E72" s="45" t="n">
        <v>2014</v>
      </c>
      <c r="F72" s="45" t="n">
        <v>2116</v>
      </c>
      <c r="G72" s="45" t="n">
        <v>1996</v>
      </c>
      <c r="H72" s="45" t="n">
        <v>1983</v>
      </c>
      <c r="I72" s="45" t="n">
        <v>2074</v>
      </c>
      <c r="J72" s="45" t="n">
        <v>2385</v>
      </c>
      <c r="K72" s="45" t="n">
        <v>2332</v>
      </c>
      <c r="L72" s="45" t="n">
        <v>2413</v>
      </c>
      <c r="M72" s="45" t="n">
        <v>2226</v>
      </c>
      <c r="N72" s="45" t="n">
        <v>2137</v>
      </c>
      <c r="O72" s="45" t="n">
        <v>2106</v>
      </c>
      <c r="P72" s="6" t="n">
        <v>1601</v>
      </c>
      <c r="Q72" s="6" t="n">
        <v>1841</v>
      </c>
      <c r="R72" s="6" t="n">
        <v>1783</v>
      </c>
      <c r="S72" s="6" t="n">
        <v>1875</v>
      </c>
      <c r="T72" s="6" t="n">
        <v>1840</v>
      </c>
      <c r="U72" s="6" t="n">
        <v>1891</v>
      </c>
      <c r="V72" s="6" t="n"/>
      <c r="W72" s="6" t="n"/>
      <c r="X72" s="6" t="n"/>
      <c r="Y72" s="6" t="n"/>
      <c r="Z72" s="6" t="n"/>
      <c r="AA72" s="6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33" t="n"/>
      <c r="AO72" s="33" t="n">
        <v>26037</v>
      </c>
      <c r="AP72" s="8">
        <f>SUM(P72:AA72)</f>
        <v/>
      </c>
      <c r="AQ72" s="8">
        <f>SUM(AB72:AM72)</f>
        <v/>
      </c>
      <c r="AR72" s="17" t="inlineStr">
        <is>
          <t>https://ec.europa.eu/eurostat/databrowser/view/demo_fmonth/default/table?lang=en</t>
        </is>
      </c>
      <c r="AS72" s="9" t="inlineStr">
        <is>
          <t>Eurostat demo_fmonth — 2024 full year; 2025 Jan–Jun (6 mo).</t>
        </is>
      </c>
      <c r="AT72" s="50" t="inlineStr">
        <is>
          <t>NSO</t>
        </is>
      </c>
    </row>
    <row r="73">
      <c r="A73" s="3" t="inlineStr">
        <is>
          <t>BGR</t>
        </is>
      </c>
      <c r="B73" s="4" t="inlineStr">
        <is>
          <t>Bulgaria</t>
        </is>
      </c>
      <c r="C73" s="5" t="inlineStr">
        <is>
          <t>Central &amp; Eastern Europe</t>
        </is>
      </c>
      <c r="D73" s="45" t="n">
        <v>4635</v>
      </c>
      <c r="E73" s="45" t="n">
        <v>4335</v>
      </c>
      <c r="F73" s="45" t="n">
        <v>4423</v>
      </c>
      <c r="G73" s="45" t="n">
        <v>4286</v>
      </c>
      <c r="H73" s="45" t="n">
        <v>4425</v>
      </c>
      <c r="I73" s="45" t="n">
        <v>4464</v>
      </c>
      <c r="J73" s="45" t="n">
        <v>4911</v>
      </c>
      <c r="K73" s="45" t="n">
        <v>4785</v>
      </c>
      <c r="L73" s="45" t="n">
        <v>4477</v>
      </c>
      <c r="M73" s="45" t="n">
        <v>4324</v>
      </c>
      <c r="N73" s="45" t="n">
        <v>4111</v>
      </c>
      <c r="O73" s="45" t="n">
        <v>4252</v>
      </c>
      <c r="P73" s="6" t="n">
        <v>4646</v>
      </c>
      <c r="Q73" s="6" t="n">
        <v>3908</v>
      </c>
      <c r="R73" s="6" t="n">
        <v>4160</v>
      </c>
      <c r="S73" s="6" t="n">
        <v>4084</v>
      </c>
      <c r="T73" s="6" t="n">
        <v>4329</v>
      </c>
      <c r="U73" s="6" t="n">
        <v>4422</v>
      </c>
      <c r="V73" s="6" t="n">
        <v>4720</v>
      </c>
      <c r="W73" s="6" t="n">
        <v>4381</v>
      </c>
      <c r="X73" s="6" t="n">
        <v>4314</v>
      </c>
      <c r="Y73" s="6" t="n">
        <v>4168</v>
      </c>
      <c r="Z73" s="6" t="n">
        <v>3918</v>
      </c>
      <c r="AA73" s="6" t="n">
        <v>4059</v>
      </c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33" t="n"/>
      <c r="AO73" s="33" t="n">
        <v>53428</v>
      </c>
      <c r="AP73" s="8" t="n">
        <v>50241</v>
      </c>
      <c r="AQ73" s="8">
        <f>SUM(AB73:AM73)</f>
        <v/>
      </c>
      <c r="AR73" s="17" t="inlineStr">
        <is>
          <t>https://www.nsi.bg/en/statistical-data/216/689</t>
        </is>
      </c>
      <c r="AS73" s="9" t="inlineStr">
        <is>
          <t>Annual - 6+ month lag</t>
        </is>
      </c>
      <c r="AT73" s="50" t="inlineStr">
        <is>
          <t>NSO</t>
        </is>
      </c>
    </row>
    <row r="74">
      <c r="A74" s="3" t="inlineStr">
        <is>
          <t>HRV</t>
        </is>
      </c>
      <c r="B74" s="4" t="inlineStr">
        <is>
          <t>Croatia</t>
        </is>
      </c>
      <c r="C74" s="5" t="inlineStr">
        <is>
          <t>Central &amp; Eastern Europe</t>
        </is>
      </c>
      <c r="D74" s="45" t="n">
        <v>2747</v>
      </c>
      <c r="E74" s="45" t="n">
        <v>2473</v>
      </c>
      <c r="F74" s="45" t="n">
        <v>2614</v>
      </c>
      <c r="G74" s="45" t="n">
        <v>2545</v>
      </c>
      <c r="H74" s="45" t="n">
        <v>2539</v>
      </c>
      <c r="I74" s="45" t="n">
        <v>2459</v>
      </c>
      <c r="J74" s="45" t="n">
        <v>2881</v>
      </c>
      <c r="K74" s="45" t="n">
        <v>2770</v>
      </c>
      <c r="L74" s="45" t="n">
        <v>2852</v>
      </c>
      <c r="M74" s="45" t="n">
        <v>2780</v>
      </c>
      <c r="N74" s="45" t="n">
        <v>2662</v>
      </c>
      <c r="O74" s="45" t="n">
        <v>2747</v>
      </c>
      <c r="P74" s="6" t="n">
        <v>2960</v>
      </c>
      <c r="Q74" s="6" t="n">
        <v>2233</v>
      </c>
      <c r="R74" s="6" t="n">
        <v>2655</v>
      </c>
      <c r="S74" s="6" t="n">
        <v>2423</v>
      </c>
      <c r="T74" s="6" t="n">
        <v>2394</v>
      </c>
      <c r="U74" s="6" t="n">
        <v>2557</v>
      </c>
      <c r="V74" s="6" t="n">
        <v>2972</v>
      </c>
      <c r="W74" s="6" t="n">
        <v>2791</v>
      </c>
      <c r="X74" s="6" t="n">
        <v>3087</v>
      </c>
      <c r="Y74" s="6" t="n">
        <v>3034</v>
      </c>
      <c r="Z74" s="6" t="n"/>
      <c r="AA74" s="6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33" t="n"/>
      <c r="AO74" s="33" t="n">
        <v>32069</v>
      </c>
      <c r="AP74" s="8">
        <f>SUM(P74:AA74)</f>
        <v/>
      </c>
      <c r="AQ74" s="8">
        <f>SUM(AB74:AM74)</f>
        <v/>
      </c>
      <c r="AR74" s="17" t="inlineStr">
        <is>
          <t>https://ec.europa.eu/eurostat/databrowser/view/demo_fmonth/default/table?lang=en</t>
        </is>
      </c>
      <c r="AS74" s="9" t="inlineStr">
        <is>
          <t>Eurostat demo_fmonth — 2024 full year; 2025 Jan–Oct (10 mo).</t>
        </is>
      </c>
      <c r="AT74" s="50" t="inlineStr">
        <is>
          <t>NSO</t>
        </is>
      </c>
    </row>
    <row r="75">
      <c r="A75" s="3" t="inlineStr">
        <is>
          <t>CZE</t>
        </is>
      </c>
      <c r="B75" s="4" t="inlineStr">
        <is>
          <t>Czechia</t>
        </is>
      </c>
      <c r="C75" s="5" t="inlineStr">
        <is>
          <t>Central &amp; Eastern Europe</t>
        </is>
      </c>
      <c r="D75" s="45" t="n">
        <v>7008</v>
      </c>
      <c r="E75" s="45" t="n">
        <v>6830</v>
      </c>
      <c r="F75" s="45" t="n">
        <v>7146</v>
      </c>
      <c r="G75" s="45" t="n">
        <v>7029</v>
      </c>
      <c r="H75" s="45" t="n">
        <v>7325</v>
      </c>
      <c r="I75" s="45" t="n">
        <v>6969</v>
      </c>
      <c r="J75" s="45" t="n">
        <v>7648</v>
      </c>
      <c r="K75" s="45" t="n">
        <v>7564</v>
      </c>
      <c r="L75" s="45" t="n">
        <v>6949</v>
      </c>
      <c r="M75" s="45" t="n">
        <v>6840</v>
      </c>
      <c r="N75" s="45" t="n">
        <v>6462</v>
      </c>
      <c r="O75" s="45" t="n">
        <v>6541</v>
      </c>
      <c r="P75" s="6" t="n">
        <v>6586</v>
      </c>
      <c r="Q75" s="6" t="n">
        <v>5800</v>
      </c>
      <c r="R75" s="6" t="n">
        <v>6253</v>
      </c>
      <c r="S75" s="6" t="n">
        <v>6104</v>
      </c>
      <c r="T75" s="6" t="n">
        <v>6268</v>
      </c>
      <c r="U75" s="6" t="n">
        <v>6424</v>
      </c>
      <c r="V75" s="6" t="n"/>
      <c r="W75" s="6" t="n"/>
      <c r="X75" s="6" t="n"/>
      <c r="Y75" s="6" t="n"/>
      <c r="Z75" s="6" t="n"/>
      <c r="AA75" s="6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33" t="n"/>
      <c r="AO75" s="33" t="n">
        <v>84311</v>
      </c>
      <c r="AP75" s="8" t="n">
        <v>77636</v>
      </c>
      <c r="AQ75" s="8">
        <f>SUM(AB75:AM75)</f>
        <v/>
      </c>
      <c r="AR75" s="17" t="inlineStr">
        <is>
          <t>https://csu.gov.cz/births?pocet=10&amp;start=0&amp;podskupiny=133&amp;razeni=-datumVydani</t>
        </is>
      </c>
      <c r="AS75" s="9" t="inlineStr">
        <is>
          <t>Annual - 6+ month lag</t>
        </is>
      </c>
      <c r="AT75" s="50" t="inlineStr">
        <is>
          <t>DRE</t>
        </is>
      </c>
    </row>
    <row r="76">
      <c r="A76" s="3" t="inlineStr">
        <is>
          <t>EST</t>
        </is>
      </c>
      <c r="B76" s="4" t="inlineStr">
        <is>
          <t>Estonia</t>
        </is>
      </c>
      <c r="C76" s="5" t="inlineStr">
        <is>
          <t>Central &amp; Eastern Europe</t>
        </is>
      </c>
      <c r="D76" s="45" t="n">
        <v>887</v>
      </c>
      <c r="E76" s="45" t="n">
        <v>790</v>
      </c>
      <c r="F76" s="45" t="n">
        <v>746</v>
      </c>
      <c r="G76" s="45" t="n">
        <v>883</v>
      </c>
      <c r="H76" s="45" t="n">
        <v>815</v>
      </c>
      <c r="I76" s="45" t="n">
        <v>801</v>
      </c>
      <c r="J76" s="45" t="n">
        <v>917</v>
      </c>
      <c r="K76" s="45" t="n">
        <v>830</v>
      </c>
      <c r="L76" s="45" t="n">
        <v>727</v>
      </c>
      <c r="M76" s="45" t="n">
        <v>791</v>
      </c>
      <c r="N76" s="45" t="n">
        <v>727</v>
      </c>
      <c r="O76" s="45" t="n">
        <v>732</v>
      </c>
      <c r="P76" s="6" t="n">
        <v>719</v>
      </c>
      <c r="Q76" s="6" t="n">
        <v>662</v>
      </c>
      <c r="R76" s="6" t="n">
        <v>805</v>
      </c>
      <c r="S76" s="6" t="n">
        <v>748</v>
      </c>
      <c r="T76" s="6" t="n">
        <v>784</v>
      </c>
      <c r="U76" s="6" t="n">
        <v>749</v>
      </c>
      <c r="V76" s="6" t="n">
        <v>867</v>
      </c>
      <c r="W76" s="6" t="n">
        <v>798</v>
      </c>
      <c r="X76" s="6" t="n">
        <v>794</v>
      </c>
      <c r="Y76" s="6" t="n">
        <v>795</v>
      </c>
      <c r="Z76" s="6" t="n">
        <v>721</v>
      </c>
      <c r="AA76" s="6" t="n">
        <v>650</v>
      </c>
      <c r="AB76" s="7" t="n">
        <v>706</v>
      </c>
      <c r="AC76" s="7" t="n">
        <v>654</v>
      </c>
      <c r="AD76" s="7" t="n">
        <v>788</v>
      </c>
      <c r="AE76" s="7" t="n">
        <v>696</v>
      </c>
      <c r="AF76" s="7" t="n"/>
      <c r="AG76" s="7" t="n"/>
      <c r="AH76" s="7" t="n"/>
      <c r="AI76" s="7" t="n"/>
      <c r="AJ76" s="7" t="n"/>
      <c r="AK76" s="7" t="n"/>
      <c r="AL76" s="7" t="n"/>
      <c r="AM76" s="7" t="n"/>
      <c r="AN76" s="33" t="n"/>
      <c r="AO76" s="33" t="n">
        <v>9690</v>
      </c>
      <c r="AP76" s="8">
        <f>SUM(P76:AA76)</f>
        <v/>
      </c>
      <c r="AQ76" s="8">
        <f>SUM(AB76:AM76)</f>
        <v/>
      </c>
      <c r="AR76" s="17" t="inlineStr">
        <is>
          <t>https://andmed.stat.ee/en/stat/rahvastik__rahvastikusundmused__sunnid/RV061/table/tableViewLayout2</t>
        </is>
      </c>
      <c r="AS76" s="9" t="inlineStr">
        <is>
          <t>Monthly - 2 month lag</t>
        </is>
      </c>
      <c r="AT76" s="50" t="inlineStr">
        <is>
          <t>NSO</t>
        </is>
      </c>
    </row>
    <row r="77">
      <c r="A77" s="3" t="inlineStr">
        <is>
          <t>HUN</t>
        </is>
      </c>
      <c r="B77" s="4" t="inlineStr">
        <is>
          <t>Hungary</t>
        </is>
      </c>
      <c r="C77" s="5" t="inlineStr">
        <is>
          <t>Central &amp; Eastern Europe</t>
        </is>
      </c>
      <c r="D77" s="45" t="n">
        <v>6670</v>
      </c>
      <c r="E77" s="45" t="n">
        <v>6223</v>
      </c>
      <c r="F77" s="45" t="n">
        <v>6459</v>
      </c>
      <c r="G77" s="45" t="n">
        <v>6179</v>
      </c>
      <c r="H77" s="45" t="n">
        <v>6350</v>
      </c>
      <c r="I77" s="45" t="n">
        <v>6077</v>
      </c>
      <c r="J77" s="45" t="n">
        <v>6834</v>
      </c>
      <c r="K77" s="45" t="n">
        <v>6746</v>
      </c>
      <c r="L77" s="45" t="n">
        <v>6731</v>
      </c>
      <c r="M77" s="45" t="n">
        <v>6665</v>
      </c>
      <c r="N77" s="45" t="n">
        <v>6248</v>
      </c>
      <c r="O77" s="45" t="n">
        <v>6329</v>
      </c>
      <c r="P77" s="6" t="n">
        <v>6396</v>
      </c>
      <c r="Q77" s="6" t="n">
        <v>5672</v>
      </c>
      <c r="R77" s="6" t="n">
        <v>5921</v>
      </c>
      <c r="S77" s="6" t="n">
        <v>5341</v>
      </c>
      <c r="T77" s="6" t="n">
        <v>5726</v>
      </c>
      <c r="U77" s="6" t="n">
        <v>5943</v>
      </c>
      <c r="V77" s="6" t="n">
        <v>6747</v>
      </c>
      <c r="W77" s="6" t="n">
        <v>6397</v>
      </c>
      <c r="X77" s="6" t="n">
        <v>6191</v>
      </c>
      <c r="Y77" s="6" t="n">
        <v>6011</v>
      </c>
      <c r="Z77" s="6" t="n">
        <v>5635</v>
      </c>
      <c r="AA77" s="6" t="n">
        <v>6020</v>
      </c>
      <c r="AB77" s="7" t="n">
        <v>6258</v>
      </c>
      <c r="AC77" s="7" t="n">
        <v>5360</v>
      </c>
      <c r="AD77" s="7" t="n">
        <v>5774</v>
      </c>
      <c r="AE77" s="7" t="n">
        <v>5410</v>
      </c>
      <c r="AF77" s="7" t="n"/>
      <c r="AG77" s="7" t="n"/>
      <c r="AH77" s="7" t="n"/>
      <c r="AI77" s="7" t="n"/>
      <c r="AJ77" s="7" t="n"/>
      <c r="AK77" s="7" t="n"/>
      <c r="AL77" s="7" t="n"/>
      <c r="AM77" s="7" t="n"/>
      <c r="AN77" s="33" t="n"/>
      <c r="AO77" s="33">
        <f>SUM(D77:O77)</f>
        <v/>
      </c>
      <c r="AP77" s="8">
        <f>SUM(P77:AA77)</f>
        <v/>
      </c>
      <c r="AQ77" s="8">
        <f>SUM(AB77:AM77)</f>
        <v/>
      </c>
      <c r="AR77" s="17" t="inlineStr">
        <is>
          <t>https://www.ksh.hu/stadat_files/nep/en/nep0064.html</t>
        </is>
      </c>
      <c r="AS77" s="9" t="inlineStr">
        <is>
          <t>Monthly - 2 month lag</t>
        </is>
      </c>
      <c r="AT77" s="50" t="inlineStr">
        <is>
          <t>NSO</t>
        </is>
      </c>
    </row>
    <row r="78">
      <c r="A78" s="3" t="inlineStr">
        <is>
          <t>XKX</t>
        </is>
      </c>
      <c r="B78" s="4" t="inlineStr">
        <is>
          <t>Kosovo</t>
        </is>
      </c>
      <c r="C78" s="5" t="inlineStr">
        <is>
          <t>Central &amp; Eastern Europe</t>
        </is>
      </c>
      <c r="D78" s="5" t="n">
        <v>2216</v>
      </c>
      <c r="E78" s="5" t="n">
        <v>1929</v>
      </c>
      <c r="F78" s="5" t="n">
        <v>2042</v>
      </c>
      <c r="G78" s="5" t="n">
        <v>2036</v>
      </c>
      <c r="H78" s="5" t="n">
        <v>2300</v>
      </c>
      <c r="I78" s="5" t="n">
        <v>2370</v>
      </c>
      <c r="J78" s="5" t="n">
        <v>2442</v>
      </c>
      <c r="K78" s="5" t="n">
        <v>2346</v>
      </c>
      <c r="L78" s="5" t="n">
        <v>2370</v>
      </c>
      <c r="M78" s="5" t="n">
        <v>2367</v>
      </c>
      <c r="N78" s="5" t="n">
        <v>2063</v>
      </c>
      <c r="O78" s="5" t="n">
        <v>2143</v>
      </c>
      <c r="P78" s="6" t="n">
        <v>2213</v>
      </c>
      <c r="Q78" s="6" t="n">
        <v>1955</v>
      </c>
      <c r="R78" s="6" t="n">
        <v>2061</v>
      </c>
      <c r="S78" s="6" t="n">
        <v>2113</v>
      </c>
      <c r="T78" s="6" t="n">
        <v>2364</v>
      </c>
      <c r="U78" s="6" t="n">
        <v>2544</v>
      </c>
      <c r="V78" s="6" t="n">
        <v>2664</v>
      </c>
      <c r="W78" s="6" t="n">
        <v>2516</v>
      </c>
      <c r="X78" s="6" t="n">
        <v>2510</v>
      </c>
      <c r="Y78" s="6" t="n">
        <v>2269</v>
      </c>
      <c r="Z78" s="6" t="n">
        <v>2184</v>
      </c>
      <c r="AA78" s="6" t="n">
        <v>2262</v>
      </c>
      <c r="AB78" s="7" t="n">
        <v>2308</v>
      </c>
      <c r="AC78" s="7" t="n">
        <v>2002</v>
      </c>
      <c r="AD78" s="7" t="n">
        <v>2314</v>
      </c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33" t="n"/>
      <c r="AO78" s="33">
        <f>SUM(D78:O78)</f>
        <v/>
      </c>
      <c r="AP78" s="8">
        <f>SUM(P78:AA78)</f>
        <v/>
      </c>
      <c r="AQ78" s="8">
        <f>SUM(AB78:AM78)</f>
        <v/>
      </c>
      <c r="AR78" s="17" t="inlineStr">
        <is>
          <t>https://askdata.rks-gov.net/pxweb/en/ASKdata/ASKdata__Population__Births%20and%20deaths__Births__Monthly%20indicators/tab02.px/table/tableViewLayout1/</t>
        </is>
      </c>
      <c r="AS78" s="9" t="inlineStr">
        <is>
          <t>Monthly - 3 month lag</t>
        </is>
      </c>
      <c r="AT78" s="50" t="inlineStr">
        <is>
          <t>NSO</t>
        </is>
      </c>
    </row>
    <row r="79">
      <c r="A79" s="3" t="inlineStr">
        <is>
          <t>LVA</t>
        </is>
      </c>
      <c r="B79" s="4" t="inlineStr">
        <is>
          <t>Latvia</t>
        </is>
      </c>
      <c r="C79" s="5" t="inlineStr">
        <is>
          <t>Central &amp; Eastern Europe</t>
        </is>
      </c>
      <c r="D79" s="45" t="n">
        <v>1072</v>
      </c>
      <c r="E79" s="45" t="n">
        <v>1055</v>
      </c>
      <c r="F79" s="45" t="n">
        <v>1109</v>
      </c>
      <c r="G79" s="45" t="n">
        <v>1096</v>
      </c>
      <c r="H79" s="45" t="n">
        <v>1120</v>
      </c>
      <c r="I79" s="45" t="n">
        <v>1071</v>
      </c>
      <c r="J79" s="45" t="n">
        <v>1159</v>
      </c>
      <c r="K79" s="45" t="n">
        <v>1155</v>
      </c>
      <c r="L79" s="45" t="n">
        <v>1138</v>
      </c>
      <c r="M79" s="45" t="n">
        <v>1020</v>
      </c>
      <c r="N79" s="45" t="n">
        <v>959</v>
      </c>
      <c r="O79" s="45" t="n">
        <v>933</v>
      </c>
      <c r="P79" s="6" t="n">
        <v>905</v>
      </c>
      <c r="Q79" s="6" t="n">
        <v>912</v>
      </c>
      <c r="R79" s="6" t="n">
        <v>1009</v>
      </c>
      <c r="S79" s="6" t="n">
        <v>1002</v>
      </c>
      <c r="T79" s="6" t="n">
        <v>977</v>
      </c>
      <c r="U79" s="6" t="n">
        <v>1004</v>
      </c>
      <c r="V79" s="6" t="n">
        <v>1126</v>
      </c>
      <c r="W79" s="6" t="n">
        <v>1100</v>
      </c>
      <c r="X79" s="6" t="n">
        <v>1073</v>
      </c>
      <c r="Y79" s="6" t="n">
        <v>1028</v>
      </c>
      <c r="Z79" s="6" t="n">
        <v>927</v>
      </c>
      <c r="AA79" s="6" t="n">
        <v>868</v>
      </c>
      <c r="AB79" s="7" t="n">
        <v>951</v>
      </c>
      <c r="AC79" s="7" t="n">
        <v>810</v>
      </c>
      <c r="AD79" s="7" t="n">
        <v>996</v>
      </c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33" t="n"/>
      <c r="AO79" s="33" t="n">
        <v>12887</v>
      </c>
      <c r="AP79" s="8">
        <f>SUM(P79:AA79)</f>
        <v/>
      </c>
      <c r="AQ79" s="8">
        <f>SUM(AB79:AM79)</f>
        <v/>
      </c>
      <c r="AR79" s="17" t="inlineStr">
        <is>
          <t>https://data.stat.gov.lv/pxweb/en/OSP_PUB/START__POP__ID__IDS/IDS010m/table/tableViewLayout1/</t>
        </is>
      </c>
      <c r="AS79" s="9" t="inlineStr">
        <is>
          <t>Monthly - 2 month lag</t>
        </is>
      </c>
      <c r="AT79" s="50" t="inlineStr">
        <is>
          <t>NSO</t>
        </is>
      </c>
    </row>
    <row r="80">
      <c r="A80" s="3" t="inlineStr">
        <is>
          <t>LTU</t>
        </is>
      </c>
      <c r="B80" s="4" t="inlineStr">
        <is>
          <t>Lithuania</t>
        </is>
      </c>
      <c r="C80" s="5" t="inlineStr">
        <is>
          <t>Central &amp; Eastern Europe</t>
        </is>
      </c>
      <c r="D80" s="45" t="n">
        <v>1573</v>
      </c>
      <c r="E80" s="45" t="n">
        <v>1515</v>
      </c>
      <c r="F80" s="45" t="n">
        <v>1652</v>
      </c>
      <c r="G80" s="45" t="n">
        <v>1542</v>
      </c>
      <c r="H80" s="45" t="n">
        <v>1616</v>
      </c>
      <c r="I80" s="45" t="n">
        <v>1585</v>
      </c>
      <c r="J80" s="45" t="n">
        <v>1778</v>
      </c>
      <c r="K80" s="45" t="n">
        <v>1684</v>
      </c>
      <c r="L80" s="45" t="n">
        <v>1676</v>
      </c>
      <c r="M80" s="45" t="n">
        <v>1593</v>
      </c>
      <c r="N80" s="45" t="n">
        <v>1368</v>
      </c>
      <c r="O80" s="45" t="n">
        <v>1504</v>
      </c>
      <c r="P80" s="6" t="n">
        <v>1488</v>
      </c>
      <c r="Q80" s="6" t="n">
        <v>1302</v>
      </c>
      <c r="R80" s="6" t="n">
        <v>1392</v>
      </c>
      <c r="S80" s="6" t="n">
        <v>1397</v>
      </c>
      <c r="T80" s="6" t="n">
        <v>1540</v>
      </c>
      <c r="U80" s="6" t="n">
        <v>1453</v>
      </c>
      <c r="V80" s="6" t="n">
        <v>1600</v>
      </c>
      <c r="W80" s="6" t="n">
        <v>1635</v>
      </c>
      <c r="X80" s="6" t="n">
        <v>1618</v>
      </c>
      <c r="Y80" s="6" t="n">
        <v>1514</v>
      </c>
      <c r="Z80" s="6" t="n">
        <v>1332</v>
      </c>
      <c r="AA80" s="6" t="n">
        <v>1371</v>
      </c>
      <c r="AB80" s="7" t="n">
        <v>1396</v>
      </c>
      <c r="AC80" s="7" t="n">
        <v>1241</v>
      </c>
      <c r="AD80" s="7" t="n">
        <v>1431</v>
      </c>
      <c r="AE80" s="7" t="n">
        <v>1444</v>
      </c>
      <c r="AF80" s="7" t="n">
        <v>1388</v>
      </c>
      <c r="AG80" s="7" t="n"/>
      <c r="AH80" s="7" t="n"/>
      <c r="AI80" s="7" t="n"/>
      <c r="AJ80" s="7" t="n"/>
      <c r="AK80" s="7" t="n"/>
      <c r="AL80" s="7" t="n"/>
      <c r="AM80" s="7" t="n"/>
      <c r="AN80" s="33" t="n"/>
      <c r="AO80" s="33" t="n">
        <v>19086</v>
      </c>
      <c r="AP80" s="8">
        <f>SUM(P80:AA80)</f>
        <v/>
      </c>
      <c r="AQ80" s="8">
        <f>SUM(AB80:AM80)</f>
        <v/>
      </c>
      <c r="AR80" s="17" t="inlineStr">
        <is>
          <t>https://osp.stat.gov.lt/en_GB/statistiniu-rodikliu-analize#/</t>
        </is>
      </c>
      <c r="AS80" s="9" t="inlineStr">
        <is>
          <t>Monthly - 2 month lag</t>
        </is>
      </c>
      <c r="AT80" s="50" t="inlineStr">
        <is>
          <t>NSO</t>
        </is>
      </c>
    </row>
    <row r="81">
      <c r="A81" s="3" t="inlineStr">
        <is>
          <t>MDA</t>
        </is>
      </c>
      <c r="B81" s="4" t="inlineStr">
        <is>
          <t>Moldova</t>
        </is>
      </c>
      <c r="C81" s="5" t="inlineStr">
        <is>
          <t>Central &amp; Eastern Europe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6" t="n">
        <v>1841.666666666667</v>
      </c>
      <c r="Q81" s="28" t="n">
        <v>1842</v>
      </c>
      <c r="R81" s="28" t="n">
        <v>1842</v>
      </c>
      <c r="S81" s="28" t="n">
        <v>1842</v>
      </c>
      <c r="T81" s="28" t="n">
        <v>1842</v>
      </c>
      <c r="U81" s="28" t="n">
        <v>1842</v>
      </c>
      <c r="V81" s="28" t="n">
        <v>1842</v>
      </c>
      <c r="W81" s="28" t="n">
        <v>1842</v>
      </c>
      <c r="X81" s="28" t="n">
        <v>1842</v>
      </c>
      <c r="Y81" s="28" t="n">
        <v>1842</v>
      </c>
      <c r="Z81" s="28" t="n">
        <v>1842</v>
      </c>
      <c r="AA81" s="28" t="n">
        <v>1842</v>
      </c>
      <c r="AB81" s="7" t="n">
        <v>1689.333333333333</v>
      </c>
      <c r="AC81" s="47" t="n">
        <v>1689</v>
      </c>
      <c r="AD81" s="47" t="n">
        <v>1689</v>
      </c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33" t="n">
        <v>24033</v>
      </c>
      <c r="AO81" s="33" t="n">
        <v>23648</v>
      </c>
      <c r="AP81" s="8" t="n">
        <v>22108</v>
      </c>
      <c r="AQ81" s="8">
        <f>SUM(AB81:AM81)</f>
        <v/>
      </c>
      <c r="AR81" s="9" t="n"/>
      <c r="AS81" s="9" t="n"/>
      <c r="AT81" s="50" t="inlineStr">
        <is>
          <t>NSO</t>
        </is>
      </c>
    </row>
    <row r="82">
      <c r="A82" s="3" t="inlineStr">
        <is>
          <t>MNE</t>
        </is>
      </c>
      <c r="B82" s="4" t="inlineStr">
        <is>
          <t>Montenegro</t>
        </is>
      </c>
      <c r="C82" s="5" t="inlineStr">
        <is>
          <t>Central &amp; Eastern Europe</t>
        </is>
      </c>
      <c r="D82" s="45" t="n">
        <v>627</v>
      </c>
      <c r="E82" s="45" t="n">
        <v>549</v>
      </c>
      <c r="F82" s="45" t="n">
        <v>570</v>
      </c>
      <c r="G82" s="45" t="n">
        <v>533</v>
      </c>
      <c r="H82" s="45" t="n">
        <v>548</v>
      </c>
      <c r="I82" s="45" t="n">
        <v>540</v>
      </c>
      <c r="J82" s="45" t="n">
        <v>621</v>
      </c>
      <c r="K82" s="45" t="n">
        <v>617</v>
      </c>
      <c r="L82" s="45" t="n">
        <v>595</v>
      </c>
      <c r="M82" s="45" t="n">
        <v>610</v>
      </c>
      <c r="N82" s="45" t="n">
        <v>579</v>
      </c>
      <c r="O82" s="45" t="n">
        <v>588</v>
      </c>
      <c r="P82" s="6" t="n">
        <v>588</v>
      </c>
      <c r="Q82" s="6" t="n">
        <v>543</v>
      </c>
      <c r="R82" s="6" t="n">
        <v>500</v>
      </c>
      <c r="S82" s="6" t="n">
        <v>529</v>
      </c>
      <c r="T82" s="6" t="n">
        <v>515</v>
      </c>
      <c r="U82" s="6" t="n">
        <v>557</v>
      </c>
      <c r="V82" s="6" t="n"/>
      <c r="W82" s="6" t="n"/>
      <c r="X82" s="6" t="n"/>
      <c r="Y82" s="6" t="n"/>
      <c r="Z82" s="6" t="n"/>
      <c r="AA82" s="6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33" t="n"/>
      <c r="AO82" s="33" t="n">
        <v>6977</v>
      </c>
      <c r="AP82" s="8">
        <f>SUM(P82:AA82)</f>
        <v/>
      </c>
      <c r="AQ82" s="8">
        <f>SUM(AB82:AM82)</f>
        <v/>
      </c>
      <c r="AR82" s="17" t="inlineStr">
        <is>
          <t>https://ec.europa.eu/eurostat/databrowser/view/demo_fmonth/default/table?lang=en</t>
        </is>
      </c>
      <c r="AS82" s="9" t="inlineStr">
        <is>
          <t>Eurostat demo_fmonth — 2024 full year; 2025 Jan–Jun (6 mo).</t>
        </is>
      </c>
      <c r="AT82" s="50" t="inlineStr">
        <is>
          <t>NSO</t>
        </is>
      </c>
    </row>
    <row r="83">
      <c r="A83" s="3" t="inlineStr">
        <is>
          <t>MKD</t>
        </is>
      </c>
      <c r="B83" s="4" t="inlineStr">
        <is>
          <t>North Macedonia</t>
        </is>
      </c>
      <c r="C83" s="5" t="inlineStr">
        <is>
          <t>Central &amp; Eastern Europe</t>
        </is>
      </c>
      <c r="D83" s="45" t="n">
        <v>1455</v>
      </c>
      <c r="E83" s="45" t="n">
        <v>1243</v>
      </c>
      <c r="F83" s="45" t="n">
        <v>1246</v>
      </c>
      <c r="G83" s="45" t="n">
        <v>1246</v>
      </c>
      <c r="H83" s="45" t="n">
        <v>1385</v>
      </c>
      <c r="I83" s="45" t="n">
        <v>1274</v>
      </c>
      <c r="J83" s="45" t="n">
        <v>1496</v>
      </c>
      <c r="K83" s="45" t="n">
        <v>1451</v>
      </c>
      <c r="L83" s="45" t="n">
        <v>1324</v>
      </c>
      <c r="M83" s="45" t="n">
        <v>1390</v>
      </c>
      <c r="N83" s="45" t="n">
        <v>1277</v>
      </c>
      <c r="O83" s="45" t="n">
        <v>1274</v>
      </c>
      <c r="P83" s="6" t="n">
        <v>1134</v>
      </c>
      <c r="Q83" s="6" t="n">
        <v>1331</v>
      </c>
      <c r="R83" s="6" t="n">
        <v>1061</v>
      </c>
      <c r="S83" s="6" t="n">
        <v>1209</v>
      </c>
      <c r="T83" s="6" t="n">
        <v>1204</v>
      </c>
      <c r="U83" s="6" t="n">
        <v>1328</v>
      </c>
      <c r="V83" s="6" t="n">
        <v>1487</v>
      </c>
      <c r="W83" s="6" t="n">
        <v>1318</v>
      </c>
      <c r="X83" s="6" t="n">
        <v>1626</v>
      </c>
      <c r="Y83" s="6" t="n"/>
      <c r="Z83" s="6" t="n"/>
      <c r="AA83" s="6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33" t="n"/>
      <c r="AO83" s="33" t="n">
        <v>16061</v>
      </c>
      <c r="AP83" s="8">
        <f>SUM(P83:AA83)</f>
        <v/>
      </c>
      <c r="AQ83" s="8">
        <f>SUM(AB83:AM83)</f>
        <v/>
      </c>
      <c r="AR83" s="17" t="inlineStr">
        <is>
          <t>https://ec.europa.eu/eurostat/databrowser/view/demo_fmonth/default/table?lang=en</t>
        </is>
      </c>
      <c r="AS83" s="9" t="inlineStr">
        <is>
          <t>Eurostat demo_fmonth — 2024 full year; 2025 Jan–Sep (9 mo).</t>
        </is>
      </c>
      <c r="AT83" s="50" t="inlineStr">
        <is>
          <t>NSO</t>
        </is>
      </c>
    </row>
    <row r="84">
      <c r="A84" s="3" t="inlineStr">
        <is>
          <t>POL</t>
        </is>
      </c>
      <c r="B84" s="4" t="inlineStr">
        <is>
          <t>Poland</t>
        </is>
      </c>
      <c r="C84" s="5" t="inlineStr">
        <is>
          <t>Central &amp; Eastern Europe</t>
        </is>
      </c>
      <c r="D84" s="45" t="n">
        <v>23600</v>
      </c>
      <c r="E84" s="45" t="n">
        <v>20600</v>
      </c>
      <c r="F84" s="45" t="n">
        <v>20100</v>
      </c>
      <c r="G84" s="45" t="n">
        <v>21700</v>
      </c>
      <c r="H84" s="45" t="n">
        <v>20700</v>
      </c>
      <c r="I84" s="45" t="n">
        <v>19000</v>
      </c>
      <c r="J84" s="45" t="n">
        <v>23300</v>
      </c>
      <c r="K84" s="45" t="n">
        <v>21200</v>
      </c>
      <c r="L84" s="45" t="n">
        <v>22200</v>
      </c>
      <c r="M84" s="45" t="n">
        <v>21400</v>
      </c>
      <c r="N84" s="45" t="n">
        <v>18600</v>
      </c>
      <c r="O84" s="45" t="n">
        <v>19400</v>
      </c>
      <c r="P84" s="6" t="n">
        <v>21000</v>
      </c>
      <c r="Q84" s="6" t="n">
        <v>18000</v>
      </c>
      <c r="R84" s="6" t="n">
        <v>18700</v>
      </c>
      <c r="S84" s="6" t="n">
        <v>19300</v>
      </c>
      <c r="T84" s="6" t="n">
        <v>19400</v>
      </c>
      <c r="U84" s="6" t="n">
        <v>19600</v>
      </c>
      <c r="V84" s="6" t="n">
        <v>22600</v>
      </c>
      <c r="W84" s="6" t="n">
        <v>20700</v>
      </c>
      <c r="X84" s="6" t="n">
        <v>22500</v>
      </c>
      <c r="Y84" s="6" t="n">
        <v>20500</v>
      </c>
      <c r="Z84" s="6" t="n">
        <v>17000</v>
      </c>
      <c r="AA84" s="6" t="n">
        <v>19000</v>
      </c>
      <c r="AB84" s="7" t="n">
        <v>20000</v>
      </c>
      <c r="AC84" s="7" t="n">
        <v>17500</v>
      </c>
      <c r="AD84" s="7" t="n">
        <v>20000</v>
      </c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33" t="n"/>
      <c r="AO84" s="33" t="n">
        <v>251782</v>
      </c>
      <c r="AP84" s="8">
        <f>SUM(P84:AA84)</f>
        <v/>
      </c>
      <c r="AQ84" s="8">
        <f>SUM(AB84:AM84)</f>
        <v/>
      </c>
      <c r="AR84" s="17" t="inlineStr">
        <is>
          <t>https://stat.gov.pl/en/topics/other-studies/informations-on-socio-economic-situation/statistical-bulletin-no-42026,4,186.html</t>
        </is>
      </c>
      <c r="AS84" s="9" t="inlineStr">
        <is>
          <t>Monthly - 2 month lag</t>
        </is>
      </c>
      <c r="AT84" s="50" t="inlineStr">
        <is>
          <t>NSO</t>
        </is>
      </c>
    </row>
    <row r="85">
      <c r="A85" s="3" t="inlineStr">
        <is>
          <t>ROU</t>
        </is>
      </c>
      <c r="B85" s="4" t="inlineStr">
        <is>
          <t>Romania</t>
        </is>
      </c>
      <c r="C85" s="5" t="inlineStr">
        <is>
          <t>Central &amp; Eastern Europe</t>
        </is>
      </c>
      <c r="D85" s="45" t="n">
        <v>12963</v>
      </c>
      <c r="E85" s="45" t="n">
        <v>11688</v>
      </c>
      <c r="F85" s="45" t="n">
        <v>11959</v>
      </c>
      <c r="G85" s="45" t="n">
        <v>11774</v>
      </c>
      <c r="H85" s="45" t="n">
        <v>11515</v>
      </c>
      <c r="I85" s="45" t="n">
        <v>11360</v>
      </c>
      <c r="J85" s="45" t="n">
        <v>13067</v>
      </c>
      <c r="K85" s="45" t="n">
        <v>12627</v>
      </c>
      <c r="L85" s="45" t="n">
        <v>12860</v>
      </c>
      <c r="M85" s="45" t="n">
        <v>11589</v>
      </c>
      <c r="N85" s="45" t="n">
        <v>11188</v>
      </c>
      <c r="O85" s="45" t="n">
        <v>11047</v>
      </c>
      <c r="P85" s="6" t="n">
        <v>11715</v>
      </c>
      <c r="Q85" s="6" t="n">
        <v>10003</v>
      </c>
      <c r="R85" s="6" t="n">
        <v>10217</v>
      </c>
      <c r="S85" s="6" t="n">
        <v>10033</v>
      </c>
      <c r="T85" s="6" t="n">
        <v>10308</v>
      </c>
      <c r="U85" s="6" t="n">
        <v>11044</v>
      </c>
      <c r="V85" s="6" t="n">
        <v>12828</v>
      </c>
      <c r="W85" s="6" t="n">
        <v>11778</v>
      </c>
      <c r="X85" s="6" t="n">
        <v>13135</v>
      </c>
      <c r="Y85" s="6" t="n">
        <v>11216</v>
      </c>
      <c r="Z85" s="6" t="n">
        <v>9668</v>
      </c>
      <c r="AA85" s="6" t="n">
        <v>11014</v>
      </c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33" t="n"/>
      <c r="AO85" s="33" t="n">
        <v>143637</v>
      </c>
      <c r="AP85" s="8">
        <f>SUM(P85:AA85)</f>
        <v/>
      </c>
      <c r="AQ85" s="8">
        <f>SUM(AB85:AM85)</f>
        <v/>
      </c>
      <c r="AR85" s="17" t="inlineStr">
        <is>
          <t>https://ec.europa.eu/eurostat/databrowser/view/demo_fmonth/default/table?lang=en</t>
        </is>
      </c>
      <c r="AS85" s="9" t="inlineStr">
        <is>
          <t>Eurostat demo_fmonth — 2024 full year; 2025 full year.</t>
        </is>
      </c>
      <c r="AT85" s="50" t="inlineStr">
        <is>
          <t>NSO</t>
        </is>
      </c>
    </row>
    <row r="86">
      <c r="A86" s="3" t="inlineStr">
        <is>
          <t>RUS</t>
        </is>
      </c>
      <c r="B86" s="4" t="inlineStr">
        <is>
          <t>Russia</t>
        </is>
      </c>
      <c r="C86" s="5" t="inlineStr">
        <is>
          <t>Central &amp; Eastern Europe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6" t="n">
        <v>104954</v>
      </c>
      <c r="Q86" s="6" t="n">
        <v>90478</v>
      </c>
      <c r="R86" s="6" t="n">
        <v>93400</v>
      </c>
      <c r="S86" s="6" t="n">
        <v>98796.44444444444</v>
      </c>
      <c r="T86" s="28" t="n">
        <v>98796</v>
      </c>
      <c r="U86" s="28" t="n">
        <v>98796</v>
      </c>
      <c r="V86" s="28" t="n">
        <v>98796</v>
      </c>
      <c r="W86" s="28" t="n">
        <v>98796</v>
      </c>
      <c r="X86" s="28" t="n">
        <v>98796</v>
      </c>
      <c r="Y86" s="28" t="n">
        <v>98796</v>
      </c>
      <c r="Z86" s="28" t="n">
        <v>98796</v>
      </c>
      <c r="AA86" s="28" t="n">
        <v>98796</v>
      </c>
      <c r="AB86" s="7" t="n">
        <v>90666.66666666667</v>
      </c>
      <c r="AC86" s="7" t="n">
        <v>90666.66666666667</v>
      </c>
      <c r="AD86" s="7" t="n">
        <v>90666.66666666667</v>
      </c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33" t="n"/>
      <c r="AO86" s="33" t="n">
        <v>1222000</v>
      </c>
      <c r="AP86" s="8" t="n">
        <v>1178000</v>
      </c>
      <c r="AQ86" s="8">
        <f>SUM(AB86:AM86)</f>
        <v/>
      </c>
      <c r="AR86" s="17" t="inlineStr">
        <is>
          <t>https://united24media.com/latest-news/russia-hits-two-century-low-in-birth-rates-despite-kremlin-push-for-large-families-18174</t>
        </is>
      </c>
      <c r="AS86" s="9" t="inlineStr">
        <is>
          <t>Monthly - 1+ year lag)</t>
        </is>
      </c>
      <c r="AT86" s="50" t="inlineStr">
        <is>
          <t>NSO</t>
        </is>
      </c>
    </row>
    <row r="87">
      <c r="A87" s="3" t="inlineStr">
        <is>
          <t>SRB</t>
        </is>
      </c>
      <c r="B87" s="4" t="inlineStr">
        <is>
          <t>Serbia</t>
        </is>
      </c>
      <c r="C87" s="5" t="inlineStr">
        <is>
          <t>Central &amp; Eastern Europe</t>
        </is>
      </c>
      <c r="D87" s="45" t="n">
        <v>5215</v>
      </c>
      <c r="E87" s="45" t="n">
        <v>4755</v>
      </c>
      <c r="F87" s="45" t="n">
        <v>4657</v>
      </c>
      <c r="G87" s="45" t="n">
        <v>4765</v>
      </c>
      <c r="H87" s="45" t="n">
        <v>4770</v>
      </c>
      <c r="I87" s="45" t="n">
        <v>4793</v>
      </c>
      <c r="J87" s="45" t="n">
        <v>5463</v>
      </c>
      <c r="K87" s="45" t="n">
        <v>5455</v>
      </c>
      <c r="L87" s="45" t="n">
        <v>5180</v>
      </c>
      <c r="M87" s="45" t="n">
        <v>5445</v>
      </c>
      <c r="N87" s="45" t="n">
        <v>5093</v>
      </c>
      <c r="O87" s="45" t="n">
        <v>5254</v>
      </c>
      <c r="P87" s="6" t="n">
        <v>4978</v>
      </c>
      <c r="Q87" s="6" t="n">
        <v>4370</v>
      </c>
      <c r="R87" s="6" t="n">
        <v>4323</v>
      </c>
      <c r="S87" s="6" t="n">
        <v>4289</v>
      </c>
      <c r="T87" s="6" t="n">
        <v>4391</v>
      </c>
      <c r="U87" s="6" t="n">
        <v>4767</v>
      </c>
      <c r="V87" s="6" t="n">
        <v>5575</v>
      </c>
      <c r="W87" s="6" t="n">
        <v>5230</v>
      </c>
      <c r="X87" s="6" t="n">
        <v>5293</v>
      </c>
      <c r="Y87" s="6" t="n">
        <v>5485</v>
      </c>
      <c r="Z87" s="6" t="n">
        <v>4582</v>
      </c>
      <c r="AA87" s="6" t="n">
        <v>5162</v>
      </c>
      <c r="AB87" s="7" t="n">
        <v>4848</v>
      </c>
      <c r="AC87" s="7" t="n">
        <v>4455</v>
      </c>
      <c r="AD87" s="7" t="n">
        <v>4863</v>
      </c>
      <c r="AE87" s="7" t="n">
        <v>4417</v>
      </c>
      <c r="AF87" s="7" t="n"/>
      <c r="AG87" s="7" t="n"/>
      <c r="AH87" s="7" t="n"/>
      <c r="AI87" s="7" t="n"/>
      <c r="AJ87" s="7" t="n"/>
      <c r="AK87" s="7" t="n"/>
      <c r="AL87" s="7" t="n"/>
      <c r="AM87" s="7" t="n"/>
      <c r="AN87" s="33" t="n"/>
      <c r="AO87" s="33" t="n">
        <v>60845</v>
      </c>
      <c r="AP87" s="8">
        <f>SUM(P87:AA87)</f>
        <v/>
      </c>
      <c r="AQ87" s="8">
        <f>SUM(AB87:AM87)</f>
        <v/>
      </c>
      <c r="AR87" s="17" t="inlineStr">
        <is>
          <t>https://publikacije.stat.gov.rs/G2026/HtmlE/G20261133.html</t>
        </is>
      </c>
      <c r="AS87" s="9" t="inlineStr">
        <is>
          <t>Monthly - 2 month lag</t>
        </is>
      </c>
      <c r="AT87" s="50" t="inlineStr">
        <is>
          <t>NSO</t>
        </is>
      </c>
    </row>
    <row r="88">
      <c r="A88" s="3" t="inlineStr">
        <is>
          <t>SVK</t>
        </is>
      </c>
      <c r="B88" s="4" t="inlineStr">
        <is>
          <t>Slovakia</t>
        </is>
      </c>
      <c r="C88" s="5" t="inlineStr">
        <is>
          <t>Central &amp; Eastern Europe</t>
        </is>
      </c>
      <c r="D88" s="45" t="n">
        <v>4010</v>
      </c>
      <c r="E88" s="45" t="n">
        <v>3667</v>
      </c>
      <c r="F88" s="45" t="n">
        <v>3964</v>
      </c>
      <c r="G88" s="45" t="n">
        <v>3763</v>
      </c>
      <c r="H88" s="45" t="n">
        <v>3982</v>
      </c>
      <c r="I88" s="45" t="n">
        <v>3646</v>
      </c>
      <c r="J88" s="45" t="n">
        <v>4098</v>
      </c>
      <c r="K88" s="45" t="n">
        <v>3988</v>
      </c>
      <c r="L88" s="45" t="n">
        <v>4134</v>
      </c>
      <c r="M88" s="45" t="n">
        <v>3808</v>
      </c>
      <c r="N88" s="45" t="n">
        <v>3565</v>
      </c>
      <c r="O88" s="45" t="n">
        <v>3616</v>
      </c>
      <c r="P88" s="6" t="n">
        <v>3463</v>
      </c>
      <c r="Q88" s="28" t="n">
        <v>3463</v>
      </c>
      <c r="R88" s="28" t="n">
        <v>3463</v>
      </c>
      <c r="S88" s="6" t="n">
        <v>3345.333333333333</v>
      </c>
      <c r="T88" s="28" t="n">
        <v>3345</v>
      </c>
      <c r="U88" s="28" t="n">
        <v>3345</v>
      </c>
      <c r="V88" s="6" t="n">
        <v>3846.666666666667</v>
      </c>
      <c r="W88" s="6" t="n">
        <v>3846.666666666667</v>
      </c>
      <c r="X88" s="6" t="n">
        <v>3846.666666666667</v>
      </c>
      <c r="Y88" s="6" t="n">
        <v>3351.333333333333</v>
      </c>
      <c r="Z88" s="6" t="n">
        <v>3351.333333333333</v>
      </c>
      <c r="AA88" s="6" t="n">
        <v>3351.333333333333</v>
      </c>
      <c r="AB88" s="7" t="n">
        <v>3321</v>
      </c>
      <c r="AC88" s="47" t="n">
        <v>3321</v>
      </c>
      <c r="AD88" s="47" t="n">
        <v>3321</v>
      </c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33" t="n"/>
      <c r="AO88" s="33" t="n">
        <v>46241</v>
      </c>
      <c r="AP88" s="8" t="n">
        <v>42019</v>
      </c>
      <c r="AQ88" s="8">
        <f>SUM(AB88:AM88)</f>
        <v/>
      </c>
      <c r="AR88" s="17" t="inlineStr">
        <is>
          <t>https://datacube.statistics.sk/#!/view/en/vbd_dem/om7017rr/v_om7017rr_00_00_00_en</t>
        </is>
      </c>
      <c r="AS88" s="9" t="inlineStr">
        <is>
          <t>Quarterly - 3 month lag</t>
        </is>
      </c>
      <c r="AT88" s="50" t="inlineStr">
        <is>
          <t>NSO</t>
        </is>
      </c>
    </row>
    <row r="89">
      <c r="A89" s="3" t="inlineStr">
        <is>
          <t>SVN</t>
        </is>
      </c>
      <c r="B89" s="4" t="inlineStr">
        <is>
          <t>Slovenia</t>
        </is>
      </c>
      <c r="C89" s="5" t="inlineStr">
        <is>
          <t>Central &amp; Eastern Europe</t>
        </is>
      </c>
      <c r="D89" s="45" t="n">
        <v>1429</v>
      </c>
      <c r="E89" s="45" t="n">
        <v>1270</v>
      </c>
      <c r="F89" s="45" t="n">
        <v>1331</v>
      </c>
      <c r="G89" s="45" t="n">
        <v>1307</v>
      </c>
      <c r="H89" s="45" t="n">
        <v>1380</v>
      </c>
      <c r="I89" s="45" t="n">
        <v>1450</v>
      </c>
      <c r="J89" s="45" t="n">
        <v>1524</v>
      </c>
      <c r="K89" s="45" t="n">
        <v>1538</v>
      </c>
      <c r="L89" s="45" t="n">
        <v>1437</v>
      </c>
      <c r="M89" s="45" t="n">
        <v>1531</v>
      </c>
      <c r="N89" s="45" t="n">
        <v>1376</v>
      </c>
      <c r="O89" s="45" t="n">
        <v>1302</v>
      </c>
      <c r="P89" s="6" t="n">
        <v>1411</v>
      </c>
      <c r="Q89" s="6" t="n">
        <v>1233</v>
      </c>
      <c r="R89" s="6" t="n">
        <v>1374</v>
      </c>
      <c r="S89" s="6" t="n">
        <v>1286</v>
      </c>
      <c r="T89" s="6" t="n">
        <v>1388</v>
      </c>
      <c r="U89" s="6" t="n">
        <v>1389</v>
      </c>
      <c r="V89" s="6" t="n">
        <v>1524</v>
      </c>
      <c r="W89" s="6" t="n">
        <v>1540</v>
      </c>
      <c r="X89" s="6" t="n">
        <v>1512</v>
      </c>
      <c r="Y89" s="6" t="n">
        <v>1473</v>
      </c>
      <c r="Z89" s="6" t="n">
        <v>1314</v>
      </c>
      <c r="AA89" s="6" t="n">
        <v>1388</v>
      </c>
      <c r="AB89" s="7" t="n">
        <v>1398</v>
      </c>
      <c r="AC89" s="7" t="n">
        <v>1196</v>
      </c>
      <c r="AD89" s="7" t="n">
        <v>1382</v>
      </c>
      <c r="AE89" s="7" t="n">
        <v>1324</v>
      </c>
      <c r="AF89" s="7" t="n"/>
      <c r="AG89" s="7" t="n"/>
      <c r="AH89" s="7" t="n"/>
      <c r="AI89" s="7" t="n"/>
      <c r="AJ89" s="7" t="n"/>
      <c r="AK89" s="7" t="n"/>
      <c r="AL89" s="7" t="n"/>
      <c r="AM89" s="7" t="n"/>
      <c r="AN89" s="33" t="n"/>
      <c r="AO89" s="33" t="n">
        <v>16875</v>
      </c>
      <c r="AP89" s="8">
        <f>SUM(P89:AA89)</f>
        <v/>
      </c>
      <c r="AQ89" s="8">
        <f>SUM(AB89:AM89)</f>
        <v/>
      </c>
      <c r="AR89" s="17" t="inlineStr">
        <is>
          <t>https://www.stat.si/StatWeb/en/News/Index/14395</t>
        </is>
      </c>
      <c r="AS89" s="9" t="inlineStr">
        <is>
          <t>Monthly - 2 month lag</t>
        </is>
      </c>
      <c r="AT89" s="50" t="inlineStr">
        <is>
          <t>NSO</t>
        </is>
      </c>
    </row>
    <row r="90">
      <c r="A90" s="3" t="inlineStr">
        <is>
          <t>UKR</t>
        </is>
      </c>
      <c r="B90" s="4" t="inlineStr">
        <is>
          <t>Ukraine</t>
        </is>
      </c>
      <c r="C90" s="5" t="inlineStr">
        <is>
          <t>Central &amp; Eastern Europe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6" t="n">
        <v>14465.83333333333</v>
      </c>
      <c r="Q90" s="28" t="n">
        <v>14466</v>
      </c>
      <c r="R90" s="28" t="n">
        <v>14466</v>
      </c>
      <c r="S90" s="28" t="n">
        <v>14466</v>
      </c>
      <c r="T90" s="28" t="n">
        <v>14466</v>
      </c>
      <c r="U90" s="28" t="n">
        <v>14466</v>
      </c>
      <c r="V90" s="6" t="n">
        <v>13663.69444444444</v>
      </c>
      <c r="W90" s="28" t="n">
        <v>13664</v>
      </c>
      <c r="X90" s="28" t="n">
        <v>13664</v>
      </c>
      <c r="Y90" s="28" t="n">
        <v>13664</v>
      </c>
      <c r="Z90" s="28" t="n">
        <v>13664</v>
      </c>
      <c r="AA90" s="28" t="n">
        <v>13664</v>
      </c>
      <c r="AB90" s="7" t="n">
        <v>11500</v>
      </c>
      <c r="AC90" s="7" t="n">
        <v>10400</v>
      </c>
      <c r="AD90" s="7" t="n">
        <v>11100</v>
      </c>
      <c r="AE90" s="7" t="n">
        <v>10600</v>
      </c>
      <c r="AF90" s="7" t="n">
        <v>10900</v>
      </c>
      <c r="AG90" s="7" t="n"/>
      <c r="AH90" s="7" t="n"/>
      <c r="AI90" s="7" t="n"/>
      <c r="AJ90" s="7" t="n"/>
      <c r="AK90" s="7" t="n"/>
      <c r="AL90" s="7" t="n"/>
      <c r="AM90" s="7" t="n"/>
      <c r="AN90" s="33" t="n"/>
      <c r="AO90" s="33" t="n">
        <v>176679</v>
      </c>
      <c r="AP90" s="8" t="n">
        <v>168778</v>
      </c>
      <c r="AQ90" s="8">
        <f>SUM(AB90:AM90)</f>
        <v/>
      </c>
      <c r="AR90" s="17" t="inlineStr">
        <is>
          <t>https://opendatabot.ua/analytics</t>
        </is>
      </c>
      <c r="AS90" s="46" t="inlineStr">
        <is>
          <t>Unable to find - Estimate from weekly birth announcements</t>
        </is>
      </c>
      <c r="AT90" s="50" t="inlineStr">
        <is>
          <t>DRE</t>
        </is>
      </c>
    </row>
    <row r="91">
      <c r="A91" s="40" t="inlineStr">
        <is>
          <t>NORTH AMERICA</t>
        </is>
      </c>
      <c r="AN91" s="66" t="n"/>
      <c r="AP91" s="8">
        <f>SUM(P69:AA69)</f>
        <v/>
      </c>
      <c r="AQ91" s="8">
        <f>SUM(AB69:AM69)</f>
        <v/>
      </c>
    </row>
    <row r="92">
      <c r="A92" s="3" t="inlineStr">
        <is>
          <t>CAN</t>
        </is>
      </c>
      <c r="B92" s="4" t="inlineStr">
        <is>
          <t>Canada</t>
        </is>
      </c>
      <c r="C92" s="5" t="inlineStr">
        <is>
          <t>North America</t>
        </is>
      </c>
      <c r="D92" s="5" t="n">
        <v>29876</v>
      </c>
      <c r="E92" s="5" t="n">
        <v>28371</v>
      </c>
      <c r="F92" s="5" t="n">
        <v>29748</v>
      </c>
      <c r="G92" s="5" t="n">
        <v>29936</v>
      </c>
      <c r="H92" s="5" t="n">
        <v>31334</v>
      </c>
      <c r="I92" s="5" t="n">
        <v>30601</v>
      </c>
      <c r="J92" s="5" t="n">
        <v>32403</v>
      </c>
      <c r="K92" s="5" t="n">
        <v>32386</v>
      </c>
      <c r="L92" s="5" t="n">
        <v>31240</v>
      </c>
      <c r="M92" s="5" t="n">
        <v>31272</v>
      </c>
      <c r="N92" s="5" t="n">
        <v>29656</v>
      </c>
      <c r="O92" s="5" t="n">
        <v>28914</v>
      </c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33" t="n"/>
      <c r="AO92" s="33">
        <f>SUM(D92:O92)</f>
        <v/>
      </c>
      <c r="AP92" s="8" t="n">
        <v>368928</v>
      </c>
      <c r="AQ92" s="8">
        <f>SUM(AB92:AM92)</f>
        <v/>
      </c>
      <c r="AR92" s="17" t="inlineStr">
        <is>
          <t>https://www150.statcan.gc.ca/t1/tbl1/en/tv.action?pid=1710001601</t>
        </is>
      </c>
      <c r="AS92" s="9" t="inlineStr">
        <is>
          <t>Monthly - 1+ year lag</t>
        </is>
      </c>
      <c r="AT92" s="50" t="inlineStr">
        <is>
          <t>NSO</t>
        </is>
      </c>
    </row>
    <row r="93">
      <c r="A93" s="3" t="inlineStr">
        <is>
          <t>USA</t>
        </is>
      </c>
      <c r="B93" s="4" t="inlineStr">
        <is>
          <t>United States</t>
        </is>
      </c>
      <c r="C93" s="5" t="inlineStr">
        <is>
          <t>North America</t>
        </is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33" t="n"/>
      <c r="AO93" s="33" t="n">
        <v>3622673</v>
      </c>
      <c r="AP93" s="8" t="n">
        <v>3606400</v>
      </c>
      <c r="AQ93" s="8">
        <f>SUM(AB93:AM93)</f>
        <v/>
      </c>
      <c r="AR93" s="17" t="inlineStr">
        <is>
          <t>https://www.cdc.gov</t>
        </is>
      </c>
      <c r="AS93" t="inlineStr">
        <is>
          <t>Annual - 5+ month lag</t>
        </is>
      </c>
      <c r="AT93" s="50" t="inlineStr">
        <is>
          <t>NSO</t>
        </is>
      </c>
    </row>
    <row r="94">
      <c r="A94" s="3" t="inlineStr">
        <is>
          <t>BMU</t>
        </is>
      </c>
      <c r="B94" s="4" t="inlineStr">
        <is>
          <t>Bermuda</t>
        </is>
      </c>
      <c r="C94" s="5" t="inlineStr">
        <is>
          <t>North America</t>
        </is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33" t="n"/>
      <c r="AO94" s="33" t="n">
        <v>425</v>
      </c>
      <c r="AP94" s="8">
        <f>SUM(P94:AA94)</f>
        <v/>
      </c>
      <c r="AQ94" s="8">
        <f>SUM(AB94:AM94)</f>
        <v/>
      </c>
      <c r="AR94" s="17" t="inlineStr">
        <is>
          <t>https://www.gov.bm/digest-statistics</t>
        </is>
      </c>
      <c r="AS94" s="9" t="inlineStr">
        <is>
          <t>Annual - 1+ year lag</t>
        </is>
      </c>
      <c r="AT94" s="50" t="inlineStr">
        <is>
          <t>DRE</t>
        </is>
      </c>
    </row>
    <row r="95">
      <c r="A95" s="3" t="inlineStr">
        <is>
          <t>GRL</t>
        </is>
      </c>
      <c r="B95" s="4" t="inlineStr">
        <is>
          <t>Greenland</t>
        </is>
      </c>
      <c r="C95" s="5" t="inlineStr">
        <is>
          <t>North America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33" t="n"/>
      <c r="AO95" s="33" t="n">
        <v>684</v>
      </c>
      <c r="AP95" s="8" t="n">
        <v>684</v>
      </c>
      <c r="AQ95" s="8">
        <f>SUM(AB95:AM95)</f>
        <v/>
      </c>
      <c r="AR95" s="17" t="inlineStr">
        <is>
          <t>https://stat.gl/publ/en/BE/202601/contents/Population%20estimates.htm</t>
        </is>
      </c>
      <c r="AS95" s="9" t="inlineStr">
        <is>
          <t>Annual - 5+ month lag</t>
        </is>
      </c>
      <c r="AT95" s="50" t="inlineStr">
        <is>
          <t>NSO</t>
        </is>
      </c>
    </row>
    <row r="96">
      <c r="A96" s="3" t="inlineStr">
        <is>
          <t>SPM</t>
        </is>
      </c>
      <c r="B96" s="4" t="inlineStr">
        <is>
          <t>Saint Pierre and Miquelon</t>
        </is>
      </c>
      <c r="C96" s="5" t="inlineStr">
        <is>
          <t>North America</t>
        </is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33" t="n"/>
      <c r="AO96" s="33" t="n"/>
      <c r="AP96" s="8">
        <f>SUM(P96:AA96)</f>
        <v/>
      </c>
      <c r="AQ96" s="8">
        <f>SUM(AB96:AM96)</f>
        <v/>
      </c>
      <c r="AR96" s="9" t="n"/>
      <c r="AS96" s="9" t="n"/>
      <c r="AT96" s="50" t="inlineStr">
        <is>
          <t>UN WPP 2024</t>
        </is>
      </c>
    </row>
    <row r="97">
      <c r="A97" s="40" t="inlineStr">
        <is>
          <t>LATIN AMERICA &amp; CARIBBEAN</t>
        </is>
      </c>
      <c r="AN97" s="66" t="n"/>
      <c r="AP97" s="8">
        <f>SUM(P72:AA72)</f>
        <v/>
      </c>
      <c r="AQ97" s="8">
        <f>SUM(AB72:AM72)</f>
        <v/>
      </c>
    </row>
    <row r="98">
      <c r="A98" s="3" t="inlineStr">
        <is>
          <t>ARG</t>
        </is>
      </c>
      <c r="B98" s="4" t="inlineStr">
        <is>
          <t>Argentina</t>
        </is>
      </c>
      <c r="C98" s="5" t="inlineStr">
        <is>
          <t>Latin America &amp; Caribbean</t>
        </is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33" t="n"/>
      <c r="AO98" s="33" t="n">
        <v>413135</v>
      </c>
      <c r="AP98" s="8">
        <f>SUM(P98:AA98)</f>
        <v/>
      </c>
      <c r="AQ98" s="8">
        <f>SUM(AB98:AM98)</f>
        <v/>
      </c>
      <c r="AR98" s="17" t="inlineStr">
        <is>
          <t>https://estadisticas.renaper.gob.ar/app_myn/</t>
        </is>
      </c>
      <c r="AS98" s="9" t="inlineStr">
        <is>
          <t>Annual - 1+ year lag</t>
        </is>
      </c>
      <c r="AT98" s="50" t="inlineStr">
        <is>
          <t>DRE</t>
        </is>
      </c>
    </row>
    <row r="99">
      <c r="A99" s="3" t="inlineStr">
        <is>
          <t>BLZ</t>
        </is>
      </c>
      <c r="B99" s="4" t="inlineStr">
        <is>
          <t>Belize</t>
        </is>
      </c>
      <c r="C99" s="5" t="inlineStr">
        <is>
          <t>Latin America &amp; Caribbean</t>
        </is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33" t="n"/>
      <c r="AO99" s="33" t="n"/>
      <c r="AP99" s="8">
        <f>SUM(P99:AA99)</f>
        <v/>
      </c>
      <c r="AQ99" s="8">
        <f>SUM(AB99:AM99)</f>
        <v/>
      </c>
      <c r="AR99" s="9" t="inlineStr">
        <is>
          <t>?</t>
        </is>
      </c>
      <c r="AS99" s="9" t="n"/>
      <c r="AT99" s="50" t="inlineStr">
        <is>
          <t>DRE</t>
        </is>
      </c>
    </row>
    <row r="100">
      <c r="A100" s="3" t="inlineStr">
        <is>
          <t>BOL</t>
        </is>
      </c>
      <c r="B100" s="4" t="inlineStr">
        <is>
          <t>Bolivia</t>
        </is>
      </c>
      <c r="C100" s="5" t="inlineStr">
        <is>
          <t>Latin America &amp; Caribbean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33" t="n"/>
      <c r="AO100" s="33" t="n"/>
      <c r="AP100" s="8">
        <f>SUM(P100:AA100)</f>
        <v/>
      </c>
      <c r="AQ100" s="8">
        <f>SUM(AB100:AM100)</f>
        <v/>
      </c>
      <c r="AR100" s="9" t="inlineStr">
        <is>
          <t>?</t>
        </is>
      </c>
      <c r="AS100" s="9" t="n"/>
      <c r="AT100" s="50" t="inlineStr">
        <is>
          <t>DRE</t>
        </is>
      </c>
    </row>
    <row r="101">
      <c r="A101" s="3" t="inlineStr">
        <is>
          <t>BRA</t>
        </is>
      </c>
      <c r="B101" s="4" t="inlineStr">
        <is>
          <t>Brazil</t>
        </is>
      </c>
      <c r="C101" s="5" t="inlineStr">
        <is>
          <t>Latin America &amp; Caribbean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33" t="n"/>
      <c r="AO101" s="33" t="n"/>
      <c r="AP101" s="8">
        <f>SUM(P101:AA101)</f>
        <v/>
      </c>
      <c r="AQ101" s="8">
        <f>SUM(AB101:AM101)</f>
        <v/>
      </c>
      <c r="AR101" s="9" t="inlineStr">
        <is>
          <t>?</t>
        </is>
      </c>
      <c r="AS101" s="9" t="n"/>
      <c r="AT101" s="50" t="inlineStr">
        <is>
          <t>DRE</t>
        </is>
      </c>
    </row>
    <row r="102">
      <c r="A102" s="3" t="inlineStr">
        <is>
          <t>CHL</t>
        </is>
      </c>
      <c r="B102" s="4" t="inlineStr">
        <is>
          <t>Chile</t>
        </is>
      </c>
      <c r="C102" s="5" t="inlineStr">
        <is>
          <t>Latin America &amp; Caribbean</t>
        </is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6" t="n">
        <v>12827</v>
      </c>
      <c r="Q102" s="6" t="n">
        <v>11527</v>
      </c>
      <c r="R102" s="6" t="n">
        <v>12654</v>
      </c>
      <c r="S102" s="6" t="n">
        <v>12586</v>
      </c>
      <c r="T102" s="6" t="n">
        <v>12543</v>
      </c>
      <c r="U102" s="6" t="n">
        <v>11853</v>
      </c>
      <c r="V102" s="6" t="n">
        <v>12064</v>
      </c>
      <c r="W102" s="6" t="n">
        <v>11807</v>
      </c>
      <c r="X102" s="6" t="n">
        <v>12299</v>
      </c>
      <c r="Y102" s="6" t="n">
        <v>12071</v>
      </c>
      <c r="Z102" s="6" t="n">
        <v>11613</v>
      </c>
      <c r="AA102" s="6" t="n">
        <v>12352</v>
      </c>
      <c r="AB102" s="7" t="n">
        <v>12717</v>
      </c>
      <c r="AC102" s="7" t="n">
        <v>11481</v>
      </c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33" t="n"/>
      <c r="AO102" s="33" t="n"/>
      <c r="AP102" s="8">
        <f>SUM(P102:AA102)</f>
        <v/>
      </c>
      <c r="AQ102" s="8">
        <f>SUM(AB102:AM102)</f>
        <v/>
      </c>
      <c r="AR102" s="17" t="inlineStr">
        <is>
          <t>https://www.ine.gob.cl/press-room/news/2025/05/02/in-january-2025-the-number-of-births-and-marriages-decreased-year-on-year</t>
        </is>
      </c>
      <c r="AS102" s="9" t="inlineStr">
        <is>
          <t>Monthly - 3 month lag</t>
        </is>
      </c>
      <c r="AT102" s="50" t="inlineStr">
        <is>
          <t>NSO</t>
        </is>
      </c>
    </row>
    <row r="103">
      <c r="A103" s="3" t="inlineStr">
        <is>
          <t>COL</t>
        </is>
      </c>
      <c r="B103" s="4" t="inlineStr">
        <is>
          <t>Colombia</t>
        </is>
      </c>
      <c r="C103" s="5" t="inlineStr">
        <is>
          <t>Latin America &amp; Caribbean</t>
        </is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33" t="n"/>
      <c r="AO103" s="33" t="n">
        <v>453901</v>
      </c>
      <c r="AP103" s="8" t="n">
        <v>433678</v>
      </c>
      <c r="AQ103" s="8">
        <f>SUM(AB103:AM103)</f>
        <v/>
      </c>
      <c r="AR103" s="17" t="inlineStr">
        <is>
          <t>https://www.dane.gov.co/index.php/en/statistics-by-topic-1/population-and-demography/births-and-deaths</t>
        </is>
      </c>
      <c r="AS103" s="9" t="inlineStr">
        <is>
          <t>Annual - 5 month lag</t>
        </is>
      </c>
      <c r="AT103" s="50" t="inlineStr">
        <is>
          <t>DRE</t>
        </is>
      </c>
    </row>
    <row r="104">
      <c r="A104" s="3" t="inlineStr">
        <is>
          <t>CRI</t>
        </is>
      </c>
      <c r="B104" s="4" t="inlineStr">
        <is>
          <t>Costa Rica</t>
        </is>
      </c>
      <c r="C104" s="5" t="inlineStr">
        <is>
          <t>Latin America &amp; Caribbean</t>
        </is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33" t="n"/>
      <c r="AO104" s="33" t="n"/>
      <c r="AP104" s="8">
        <f>SUM(P104:AA104)</f>
        <v/>
      </c>
      <c r="AQ104" s="8">
        <f>SUM(AB104:AM104)</f>
        <v/>
      </c>
      <c r="AR104" s="9" t="n"/>
      <c r="AS104" s="9" t="n"/>
      <c r="AT104" s="50" t="inlineStr">
        <is>
          <t>DRE</t>
        </is>
      </c>
    </row>
    <row r="105">
      <c r="A105" s="3" t="inlineStr">
        <is>
          <t>CUB</t>
        </is>
      </c>
      <c r="B105" s="4" t="inlineStr">
        <is>
          <t>Cuba</t>
        </is>
      </c>
      <c r="C105" s="5" t="inlineStr">
        <is>
          <t>Latin America &amp; Caribbean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33" t="n"/>
      <c r="AO105" s="33" t="n"/>
      <c r="AP105" s="8">
        <f>SUM(P105:AA105)</f>
        <v/>
      </c>
      <c r="AQ105" s="8">
        <f>SUM(AB105:AM105)</f>
        <v/>
      </c>
      <c r="AR105" s="9" t="n"/>
      <c r="AS105" s="9" t="n"/>
      <c r="AT105" s="50" t="inlineStr">
        <is>
          <t>DRE</t>
        </is>
      </c>
    </row>
    <row r="106">
      <c r="A106" s="3" t="inlineStr">
        <is>
          <t>DOM</t>
        </is>
      </c>
      <c r="B106" s="4" t="inlineStr">
        <is>
          <t>Dominican Rep.</t>
        </is>
      </c>
      <c r="C106" s="5" t="inlineStr">
        <is>
          <t>Latin America &amp; Caribbean</t>
        </is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33" t="n"/>
      <c r="AO106" s="33" t="n"/>
      <c r="AP106" s="8">
        <f>SUM(P106:AA106)</f>
        <v/>
      </c>
      <c r="AQ106" s="8">
        <f>SUM(AB106:AM106)</f>
        <v/>
      </c>
      <c r="AR106" s="9" t="n"/>
      <c r="AS106" s="9" t="n"/>
      <c r="AT106" s="50" t="inlineStr">
        <is>
          <t>DRE</t>
        </is>
      </c>
    </row>
    <row r="107">
      <c r="A107" s="3" t="inlineStr">
        <is>
          <t>ECU</t>
        </is>
      </c>
      <c r="B107" s="4" t="inlineStr">
        <is>
          <t>Ecuador</t>
        </is>
      </c>
      <c r="C107" s="5" t="inlineStr">
        <is>
          <t>Latin America &amp; Caribbean</t>
        </is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33" t="n"/>
      <c r="AO107" s="33" t="n"/>
      <c r="AP107" s="8">
        <f>SUM(P107:AA107)</f>
        <v/>
      </c>
      <c r="AQ107" s="8">
        <f>SUM(AB107:AM107)</f>
        <v/>
      </c>
      <c r="AR107" s="9" t="n"/>
      <c r="AS107" s="9" t="n"/>
      <c r="AT107" s="50" t="inlineStr">
        <is>
          <t>UN WPP 2024</t>
        </is>
      </c>
    </row>
    <row r="108">
      <c r="A108" s="3" t="inlineStr">
        <is>
          <t>GTM</t>
        </is>
      </c>
      <c r="B108" s="4" t="inlineStr">
        <is>
          <t>Guatemala</t>
        </is>
      </c>
      <c r="C108" s="5" t="inlineStr">
        <is>
          <t>Latin America &amp; Caribbean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33" t="n"/>
      <c r="AO108" s="33" t="n"/>
      <c r="AP108" s="8">
        <f>SUM(P108:AA108)</f>
        <v/>
      </c>
      <c r="AQ108" s="8">
        <f>SUM(AB108:AM108)</f>
        <v/>
      </c>
      <c r="AR108" s="9" t="n"/>
      <c r="AS108" s="9" t="n"/>
      <c r="AT108" s="50" t="inlineStr">
        <is>
          <t>DRE</t>
        </is>
      </c>
    </row>
    <row r="109">
      <c r="A109" s="3" t="inlineStr">
        <is>
          <t>HND</t>
        </is>
      </c>
      <c r="B109" s="4" t="inlineStr">
        <is>
          <t>Honduras</t>
        </is>
      </c>
      <c r="C109" s="5" t="inlineStr">
        <is>
          <t>Latin America &amp; Caribbean</t>
        </is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33" t="n"/>
      <c r="AO109" s="33" t="n"/>
      <c r="AP109" s="8">
        <f>SUM(P109:AA109)</f>
        <v/>
      </c>
      <c r="AQ109" s="8">
        <f>SUM(AB109:AM109)</f>
        <v/>
      </c>
      <c r="AR109" s="9" t="n"/>
      <c r="AS109" s="9" t="n"/>
      <c r="AT109" s="50" t="inlineStr">
        <is>
          <t>DRE</t>
        </is>
      </c>
    </row>
    <row r="110">
      <c r="A110" s="3" t="inlineStr">
        <is>
          <t>JAM</t>
        </is>
      </c>
      <c r="B110" s="4" t="inlineStr">
        <is>
          <t>Jamaica</t>
        </is>
      </c>
      <c r="C110" s="5" t="inlineStr">
        <is>
          <t>Latin America &amp; Caribbean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33" t="n"/>
      <c r="AO110" s="33" t="n"/>
      <c r="AP110" s="8">
        <f>SUM(P110:AA110)</f>
        <v/>
      </c>
      <c r="AQ110" s="8">
        <f>SUM(AB110:AM110)</f>
        <v/>
      </c>
      <c r="AR110" s="9" t="n"/>
      <c r="AS110" s="9" t="n"/>
      <c r="AT110" s="50" t="inlineStr">
        <is>
          <t>UN WPP 2024</t>
        </is>
      </c>
    </row>
    <row r="111">
      <c r="A111" s="3" t="inlineStr">
        <is>
          <t>MEX</t>
        </is>
      </c>
      <c r="B111" s="4" t="inlineStr">
        <is>
          <t>Mexico</t>
        </is>
      </c>
      <c r="C111" s="5" t="inlineStr">
        <is>
          <t>Latin America &amp; Caribbean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33" t="n"/>
      <c r="AO111" s="33" t="n"/>
      <c r="AP111" s="8">
        <f>SUM(P111:AA111)</f>
        <v/>
      </c>
      <c r="AQ111" s="8">
        <f>SUM(AB111:AM111)</f>
        <v/>
      </c>
      <c r="AR111" s="9" t="n"/>
      <c r="AS111" s="9" t="n"/>
      <c r="AT111" s="50" t="inlineStr">
        <is>
          <t>DRE</t>
        </is>
      </c>
    </row>
    <row r="112">
      <c r="A112" s="3" t="inlineStr">
        <is>
          <t>NIC</t>
        </is>
      </c>
      <c r="B112" s="4" t="inlineStr">
        <is>
          <t>Nicaragua</t>
        </is>
      </c>
      <c r="C112" s="5" t="inlineStr">
        <is>
          <t>Latin America &amp; Caribbean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33" t="n"/>
      <c r="AO112" s="33" t="n"/>
      <c r="AP112" s="8">
        <f>SUM(P112:AA112)</f>
        <v/>
      </c>
      <c r="AQ112" s="8">
        <f>SUM(AB112:AM112)</f>
        <v/>
      </c>
      <c r="AR112" s="9" t="n"/>
      <c r="AS112" s="9" t="n"/>
      <c r="AT112" s="50" t="inlineStr">
        <is>
          <t>DRE</t>
        </is>
      </c>
    </row>
    <row r="113">
      <c r="A113" s="3" t="inlineStr">
        <is>
          <t>PAN</t>
        </is>
      </c>
      <c r="B113" s="4" t="inlineStr">
        <is>
          <t>Panama</t>
        </is>
      </c>
      <c r="C113" s="5" t="inlineStr">
        <is>
          <t>Latin America &amp; Caribbean</t>
        </is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33" t="n"/>
      <c r="AO113" s="33" t="n"/>
      <c r="AP113" s="8">
        <f>SUM(P113:AA113)</f>
        <v/>
      </c>
      <c r="AQ113" s="8">
        <f>SUM(AB113:AM113)</f>
        <v/>
      </c>
      <c r="AR113" s="9" t="n"/>
      <c r="AS113" s="9" t="n"/>
      <c r="AT113" s="50" t="inlineStr">
        <is>
          <t>DRE</t>
        </is>
      </c>
    </row>
    <row r="114">
      <c r="A114" s="3" t="inlineStr">
        <is>
          <t>PRY</t>
        </is>
      </c>
      <c r="B114" s="4" t="inlineStr">
        <is>
          <t>Paraguay</t>
        </is>
      </c>
      <c r="C114" s="5" t="inlineStr">
        <is>
          <t>Latin America &amp; Caribbean</t>
        </is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33" t="n"/>
      <c r="AO114" s="33" t="n"/>
      <c r="AP114" s="8">
        <f>SUM(P114:AA114)</f>
        <v/>
      </c>
      <c r="AQ114" s="8">
        <f>SUM(AB114:AM114)</f>
        <v/>
      </c>
      <c r="AR114" s="9" t="n"/>
      <c r="AS114" s="9" t="n"/>
      <c r="AT114" s="50" t="inlineStr">
        <is>
          <t>DRE</t>
        </is>
      </c>
    </row>
    <row r="115">
      <c r="A115" s="3" t="inlineStr">
        <is>
          <t>PER</t>
        </is>
      </c>
      <c r="B115" s="4" t="inlineStr">
        <is>
          <t>Peru</t>
        </is>
      </c>
      <c r="C115" s="5" t="inlineStr">
        <is>
          <t>Latin America &amp; Caribbean</t>
        </is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33" t="n"/>
      <c r="AO115" s="33" t="n"/>
      <c r="AP115" s="8">
        <f>SUM(P115:AA115)</f>
        <v/>
      </c>
      <c r="AQ115" s="8">
        <f>SUM(AB115:AM115)</f>
        <v/>
      </c>
      <c r="AR115" s="9" t="n"/>
      <c r="AS115" s="9" t="n"/>
      <c r="AT115" s="50" t="inlineStr">
        <is>
          <t>DRE</t>
        </is>
      </c>
    </row>
    <row r="116">
      <c r="A116" s="3" t="inlineStr">
        <is>
          <t>PRI</t>
        </is>
      </c>
      <c r="B116" s="4" t="inlineStr">
        <is>
          <t>Puerto Rico</t>
        </is>
      </c>
      <c r="C116" s="5" t="inlineStr">
        <is>
          <t>Latin America &amp; Caribbean</t>
        </is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33" t="n"/>
      <c r="AO116" s="33" t="n"/>
      <c r="AP116" s="8">
        <f>SUM(P116:AA116)</f>
        <v/>
      </c>
      <c r="AQ116" s="8">
        <f>SUM(AB116:AM116)</f>
        <v/>
      </c>
      <c r="AR116" s="9" t="n"/>
      <c r="AS116" s="9" t="n"/>
      <c r="AT116" s="50" t="inlineStr">
        <is>
          <t>DRE</t>
        </is>
      </c>
    </row>
    <row r="117">
      <c r="A117" s="3" t="inlineStr">
        <is>
          <t>SUR</t>
        </is>
      </c>
      <c r="B117" s="4" t="inlineStr">
        <is>
          <t>Suriname</t>
        </is>
      </c>
      <c r="C117" s="5" t="inlineStr">
        <is>
          <t>Latin America &amp; Caribbean</t>
        </is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33" t="n"/>
      <c r="AO117" s="33" t="n"/>
      <c r="AP117" s="8">
        <f>SUM(P117:AA117)</f>
        <v/>
      </c>
      <c r="AQ117" s="8">
        <f>SUM(AB117:AM117)</f>
        <v/>
      </c>
      <c r="AR117" s="9" t="n"/>
      <c r="AS117" s="9" t="n"/>
      <c r="AT117" s="50" t="inlineStr">
        <is>
          <t>UN WPP 2024</t>
        </is>
      </c>
    </row>
    <row r="118">
      <c r="A118" s="3" t="inlineStr">
        <is>
          <t>URY</t>
        </is>
      </c>
      <c r="B118" s="4" t="inlineStr">
        <is>
          <t>Uruguay</t>
        </is>
      </c>
      <c r="C118" s="5" t="inlineStr">
        <is>
          <t>Latin America &amp; Caribbean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33" t="n"/>
      <c r="AO118" s="33" t="n">
        <v>29899</v>
      </c>
      <c r="AP118" s="8" t="n">
        <v>28903</v>
      </c>
      <c r="AQ118" s="8">
        <f>SUM(AB118:AM118)</f>
        <v/>
      </c>
      <c r="AR118" s="17" t="inlineStr">
        <is>
          <t>https://www.subrayado.com.uy/hubo-28903-nacidos-vivos-2025-cifras-actuales-son-similares-las-fines-siglo-xix-n996745</t>
        </is>
      </c>
      <c r="AS118" s="9" t="inlineStr">
        <is>
          <t>Annual - 3 month lag</t>
        </is>
      </c>
      <c r="AT118" s="50" t="inlineStr">
        <is>
          <t>NSO</t>
        </is>
      </c>
    </row>
    <row r="119">
      <c r="A119" s="3" t="inlineStr">
        <is>
          <t>VEN</t>
        </is>
      </c>
      <c r="B119" s="4" t="inlineStr">
        <is>
          <t>Venezuela</t>
        </is>
      </c>
      <c r="C119" s="5" t="inlineStr">
        <is>
          <t>Latin America &amp; Caribbean</t>
        </is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33" t="n"/>
      <c r="AO119" s="33" t="n"/>
      <c r="AP119" s="8">
        <f>SUM(P119:AA119)</f>
        <v/>
      </c>
      <c r="AQ119" s="8">
        <f>SUM(AB119:AM119)</f>
        <v/>
      </c>
      <c r="AR119" s="9" t="n"/>
      <c r="AS119" s="9" t="n"/>
      <c r="AT119" s="50" t="inlineStr">
        <is>
          <t>UN WPP 2024</t>
        </is>
      </c>
    </row>
    <row r="120">
      <c r="A120" s="3" t="inlineStr">
        <is>
          <t>AIA</t>
        </is>
      </c>
      <c r="B120" s="4" t="inlineStr">
        <is>
          <t>Anguilla</t>
        </is>
      </c>
      <c r="C120" s="5" t="inlineStr">
        <is>
          <t>Latin America &amp; Caribbean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33" t="n"/>
      <c r="AO120" s="33" t="n"/>
      <c r="AP120" s="8">
        <f>SUM(P120:AA120)</f>
        <v/>
      </c>
      <c r="AQ120" s="8">
        <f>SUM(AB120:AM120)</f>
        <v/>
      </c>
      <c r="AR120" s="9" t="n"/>
      <c r="AS120" s="9" t="n"/>
      <c r="AT120" s="50" t="inlineStr">
        <is>
          <t>UN WPP 2024</t>
        </is>
      </c>
    </row>
    <row r="121">
      <c r="A121" s="3" t="inlineStr">
        <is>
          <t>ATG</t>
        </is>
      </c>
      <c r="B121" s="4" t="inlineStr">
        <is>
          <t>Antigua and Barbuda</t>
        </is>
      </c>
      <c r="C121" s="5" t="inlineStr">
        <is>
          <t>Latin America &amp; Caribbean</t>
        </is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33" t="n"/>
      <c r="AO121" s="33" t="n"/>
      <c r="AP121" s="8">
        <f>SUM(P121:AA121)</f>
        <v/>
      </c>
      <c r="AQ121" s="8">
        <f>SUM(AB121:AM121)</f>
        <v/>
      </c>
      <c r="AR121" s="9" t="n"/>
      <c r="AS121" s="9" t="n"/>
      <c r="AT121" s="50" t="inlineStr">
        <is>
          <t>DRE</t>
        </is>
      </c>
    </row>
    <row r="122">
      <c r="A122" s="3" t="inlineStr">
        <is>
          <t>ABW</t>
        </is>
      </c>
      <c r="B122" s="4" t="inlineStr">
        <is>
          <t>Aruba</t>
        </is>
      </c>
      <c r="C122" s="5" t="inlineStr">
        <is>
          <t>Latin America &amp; Caribbean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33" t="n"/>
      <c r="AO122" s="33" t="n"/>
      <c r="AP122" s="8">
        <f>SUM(P122:AA122)</f>
        <v/>
      </c>
      <c r="AQ122" s="8">
        <f>SUM(AB122:AM122)</f>
        <v/>
      </c>
      <c r="AR122" s="9" t="n"/>
      <c r="AS122" s="9" t="n"/>
      <c r="AT122" s="50" t="inlineStr">
        <is>
          <t>DRE</t>
        </is>
      </c>
    </row>
    <row r="123">
      <c r="A123" s="3" t="inlineStr">
        <is>
          <t>BHS</t>
        </is>
      </c>
      <c r="B123" s="4" t="inlineStr">
        <is>
          <t>Bahamas</t>
        </is>
      </c>
      <c r="C123" s="5" t="inlineStr">
        <is>
          <t>Latin America &amp; Caribbean</t>
        </is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33" t="n"/>
      <c r="AO123" s="33" t="n"/>
      <c r="AP123" s="8">
        <f>SUM(P123:AA123)</f>
        <v/>
      </c>
      <c r="AQ123" s="8">
        <f>SUM(AB123:AM123)</f>
        <v/>
      </c>
      <c r="AR123" s="9" t="n"/>
      <c r="AS123" s="9" t="n"/>
      <c r="AT123" s="50" t="inlineStr">
        <is>
          <t>UN WPP 2024</t>
        </is>
      </c>
    </row>
    <row r="124">
      <c r="A124" s="3" t="inlineStr">
        <is>
          <t>BRB</t>
        </is>
      </c>
      <c r="B124" s="4" t="inlineStr">
        <is>
          <t>Barbados</t>
        </is>
      </c>
      <c r="C124" s="5" t="inlineStr">
        <is>
          <t>Latin America &amp; Caribbean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33" t="n"/>
      <c r="AO124" s="33" t="n"/>
      <c r="AP124" s="8">
        <f>SUM(P124:AA124)</f>
        <v/>
      </c>
      <c r="AQ124" s="8">
        <f>SUM(AB124:AM124)</f>
        <v/>
      </c>
      <c r="AR124" s="9" t="n"/>
      <c r="AS124" s="9" t="n"/>
      <c r="AT124" s="50" t="inlineStr">
        <is>
          <t>UN WPP 2024</t>
        </is>
      </c>
    </row>
    <row r="125">
      <c r="A125" s="3" t="inlineStr">
        <is>
          <t>BES</t>
        </is>
      </c>
      <c r="B125" s="4" t="inlineStr">
        <is>
          <t>Bonaire, Sint Eustatius and Saba</t>
        </is>
      </c>
      <c r="C125" s="5" t="inlineStr">
        <is>
          <t>Latin America &amp; Caribbean</t>
        </is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33" t="n"/>
      <c r="AO125" s="33" t="n"/>
      <c r="AP125" s="8">
        <f>SUM(P125:AA125)</f>
        <v/>
      </c>
      <c r="AQ125" s="8">
        <f>SUM(AB125:AM125)</f>
        <v/>
      </c>
      <c r="AR125" s="9" t="n"/>
      <c r="AS125" s="9" t="n"/>
      <c r="AT125" s="50" t="inlineStr">
        <is>
          <t>UN WPP 2024</t>
        </is>
      </c>
    </row>
    <row r="126">
      <c r="A126" s="3" t="inlineStr">
        <is>
          <t>VGB</t>
        </is>
      </c>
      <c r="B126" s="4" t="inlineStr">
        <is>
          <t>British Virgin Islands</t>
        </is>
      </c>
      <c r="C126" s="5" t="inlineStr">
        <is>
          <t>Latin America &amp; Caribbean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33" t="n"/>
      <c r="AO126" s="33" t="n"/>
      <c r="AP126" s="8">
        <f>SUM(P126:AA126)</f>
        <v/>
      </c>
      <c r="AQ126" s="8">
        <f>SUM(AB126:AM126)</f>
        <v/>
      </c>
      <c r="AR126" s="9" t="n"/>
      <c r="AS126" s="9" t="n"/>
      <c r="AT126" s="50" t="inlineStr">
        <is>
          <t>UN WPP 2024</t>
        </is>
      </c>
    </row>
    <row r="127">
      <c r="A127" s="3" t="inlineStr">
        <is>
          <t>CYM</t>
        </is>
      </c>
      <c r="B127" s="4" t="inlineStr">
        <is>
          <t>Cayman Islands</t>
        </is>
      </c>
      <c r="C127" s="5" t="inlineStr">
        <is>
          <t>Latin America &amp; Caribbean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33" t="n"/>
      <c r="AO127" s="33" t="n"/>
      <c r="AP127" s="8">
        <f>SUM(P127:AA127)</f>
        <v/>
      </c>
      <c r="AQ127" s="8">
        <f>SUM(AB127:AM127)</f>
        <v/>
      </c>
      <c r="AR127" s="9" t="n"/>
      <c r="AS127" s="9" t="n"/>
      <c r="AT127" s="50" t="inlineStr">
        <is>
          <t>UN WPP 2024</t>
        </is>
      </c>
    </row>
    <row r="128">
      <c r="A128" s="3" t="inlineStr">
        <is>
          <t>CUW</t>
        </is>
      </c>
      <c r="B128" s="4" t="inlineStr">
        <is>
          <t>Curaçao</t>
        </is>
      </c>
      <c r="C128" s="5" t="inlineStr">
        <is>
          <t>Latin America &amp; Caribbean</t>
        </is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33" t="n"/>
      <c r="AO128" s="33" t="n"/>
      <c r="AP128" s="8">
        <f>SUM(P128:AA128)</f>
        <v/>
      </c>
      <c r="AQ128" s="8">
        <f>SUM(AB128:AM128)</f>
        <v/>
      </c>
      <c r="AR128" s="9" t="n"/>
      <c r="AS128" s="9" t="n"/>
      <c r="AT128" s="50" t="inlineStr">
        <is>
          <t>UN WPP 2024</t>
        </is>
      </c>
    </row>
    <row r="129">
      <c r="A129" s="3" t="inlineStr">
        <is>
          <t>DMA</t>
        </is>
      </c>
      <c r="B129" s="4" t="inlineStr">
        <is>
          <t>Dominica</t>
        </is>
      </c>
      <c r="C129" s="5" t="inlineStr">
        <is>
          <t>Latin America &amp; Caribbean</t>
        </is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33" t="n"/>
      <c r="AO129" s="33" t="n"/>
      <c r="AP129" s="8">
        <f>SUM(P129:AA129)</f>
        <v/>
      </c>
      <c r="AQ129" s="8">
        <f>SUM(AB129:AM129)</f>
        <v/>
      </c>
      <c r="AR129" s="9" t="n"/>
      <c r="AS129" s="9" t="n"/>
      <c r="AT129" s="50" t="inlineStr">
        <is>
          <t>UN WPP 2024</t>
        </is>
      </c>
    </row>
    <row r="130">
      <c r="A130" s="3" t="inlineStr">
        <is>
          <t>SLV</t>
        </is>
      </c>
      <c r="B130" s="4" t="inlineStr">
        <is>
          <t>El Salvador</t>
        </is>
      </c>
      <c r="C130" s="5" t="inlineStr">
        <is>
          <t>Latin America &amp; Caribbean</t>
        </is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33" t="n"/>
      <c r="AO130" s="33" t="n"/>
      <c r="AP130" s="8">
        <f>SUM(P130:AA130)</f>
        <v/>
      </c>
      <c r="AQ130" s="8">
        <f>SUM(AB130:AM130)</f>
        <v/>
      </c>
      <c r="AR130" s="9" t="n"/>
      <c r="AS130" s="9" t="n"/>
      <c r="AT130" s="50" t="inlineStr">
        <is>
          <t>UN WPP 2024</t>
        </is>
      </c>
    </row>
    <row r="131">
      <c r="A131" s="3" t="inlineStr">
        <is>
          <t>FLK</t>
        </is>
      </c>
      <c r="B131" s="4" t="inlineStr">
        <is>
          <t>Falkland Islands (Malvinas)</t>
        </is>
      </c>
      <c r="C131" s="5" t="inlineStr">
        <is>
          <t>Latin America &amp; Caribbean</t>
        </is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33" t="n"/>
      <c r="AO131" s="33" t="n"/>
      <c r="AP131" s="8">
        <f>SUM(P131:AA131)</f>
        <v/>
      </c>
      <c r="AQ131" s="8">
        <f>SUM(AB131:AM131)</f>
        <v/>
      </c>
      <c r="AR131" s="9" t="n"/>
      <c r="AS131" s="9" t="n"/>
      <c r="AT131" s="50" t="inlineStr">
        <is>
          <t>UN WPP 2024</t>
        </is>
      </c>
    </row>
    <row r="132">
      <c r="A132" s="3" t="inlineStr">
        <is>
          <t>GUF</t>
        </is>
      </c>
      <c r="B132" s="4" t="inlineStr">
        <is>
          <t>French Guiana</t>
        </is>
      </c>
      <c r="C132" s="5" t="inlineStr">
        <is>
          <t>Latin America &amp; Caribbean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33" t="n"/>
      <c r="AO132" s="33" t="n"/>
      <c r="AP132" s="8">
        <f>SUM(P132:AA132)</f>
        <v/>
      </c>
      <c r="AQ132" s="8">
        <f>SUM(AB132:AM132)</f>
        <v/>
      </c>
      <c r="AR132" s="9" t="n"/>
      <c r="AS132" s="9" t="n"/>
      <c r="AT132" s="50" t="inlineStr">
        <is>
          <t>DRE</t>
        </is>
      </c>
    </row>
    <row r="133">
      <c r="A133" s="3" t="inlineStr">
        <is>
          <t>GRD</t>
        </is>
      </c>
      <c r="B133" s="4" t="inlineStr">
        <is>
          <t>Grenada</t>
        </is>
      </c>
      <c r="C133" s="5" t="inlineStr">
        <is>
          <t>Latin America &amp; Caribbean</t>
        </is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33" t="n"/>
      <c r="AO133" s="33" t="n"/>
      <c r="AP133" s="8">
        <f>SUM(P133:AA133)</f>
        <v/>
      </c>
      <c r="AQ133" s="8">
        <f>SUM(AB133:AM133)</f>
        <v/>
      </c>
      <c r="AR133" s="9" t="n"/>
      <c r="AS133" s="9" t="n"/>
      <c r="AT133" s="50" t="inlineStr">
        <is>
          <t>DRE</t>
        </is>
      </c>
    </row>
    <row r="134">
      <c r="A134" s="3" t="inlineStr">
        <is>
          <t>GLP</t>
        </is>
      </c>
      <c r="B134" s="4" t="inlineStr">
        <is>
          <t>Guadeloupe</t>
        </is>
      </c>
      <c r="C134" s="5" t="inlineStr">
        <is>
          <t>Latin America &amp; Caribbean</t>
        </is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33" t="n"/>
      <c r="AO134" s="33" t="n"/>
      <c r="AP134" s="8">
        <f>SUM(P134:AA134)</f>
        <v/>
      </c>
      <c r="AQ134" s="8">
        <f>SUM(AB134:AM134)</f>
        <v/>
      </c>
      <c r="AR134" s="9" t="n"/>
      <c r="AS134" s="9" t="n"/>
      <c r="AT134" s="50" t="inlineStr">
        <is>
          <t>DRE</t>
        </is>
      </c>
    </row>
    <row r="135">
      <c r="A135" s="3" t="inlineStr">
        <is>
          <t>GUY</t>
        </is>
      </c>
      <c r="B135" s="4" t="inlineStr">
        <is>
          <t>Guyana</t>
        </is>
      </c>
      <c r="C135" s="5" t="inlineStr">
        <is>
          <t>Latin America &amp; Caribbean</t>
        </is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33" t="n"/>
      <c r="AO135" s="33" t="n"/>
      <c r="AP135" s="8">
        <f>SUM(P135:AA135)</f>
        <v/>
      </c>
      <c r="AQ135" s="8">
        <f>SUM(AB135:AM135)</f>
        <v/>
      </c>
      <c r="AR135" s="9" t="n"/>
      <c r="AS135" s="9" t="n"/>
      <c r="AT135" s="50" t="inlineStr">
        <is>
          <t>UN WPP 2024</t>
        </is>
      </c>
    </row>
    <row r="136">
      <c r="A136" s="3" t="inlineStr">
        <is>
          <t>HTI</t>
        </is>
      </c>
      <c r="B136" s="4" t="inlineStr">
        <is>
          <t>Haiti</t>
        </is>
      </c>
      <c r="C136" s="5" t="inlineStr">
        <is>
          <t>Latin America &amp; Caribbean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33" t="n"/>
      <c r="AO136" s="33" t="n"/>
      <c r="AP136" s="8">
        <f>SUM(P136:AA136)</f>
        <v/>
      </c>
      <c r="AQ136" s="8">
        <f>SUM(AB136:AM136)</f>
        <v/>
      </c>
      <c r="AR136" s="9" t="n"/>
      <c r="AS136" s="9" t="n"/>
      <c r="AT136" s="50" t="inlineStr">
        <is>
          <t>UN WPP 2024</t>
        </is>
      </c>
    </row>
    <row r="137">
      <c r="A137" s="3" t="inlineStr">
        <is>
          <t>MTQ</t>
        </is>
      </c>
      <c r="B137" s="4" t="inlineStr">
        <is>
          <t>Martinique</t>
        </is>
      </c>
      <c r="C137" s="5" t="inlineStr">
        <is>
          <t>Latin America &amp; Caribbean</t>
        </is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33" t="n"/>
      <c r="AO137" s="33" t="n"/>
      <c r="AP137" s="8">
        <f>SUM(P137:AA137)</f>
        <v/>
      </c>
      <c r="AQ137" s="8">
        <f>SUM(AB137:AM137)</f>
        <v/>
      </c>
      <c r="AR137" s="9" t="n"/>
      <c r="AS137" s="9" t="n"/>
      <c r="AT137" s="50" t="inlineStr">
        <is>
          <t>DRE</t>
        </is>
      </c>
    </row>
    <row r="138">
      <c r="A138" s="3" t="inlineStr">
        <is>
          <t>MSR</t>
        </is>
      </c>
      <c r="B138" s="4" t="inlineStr">
        <is>
          <t>Montserrat</t>
        </is>
      </c>
      <c r="C138" s="5" t="inlineStr">
        <is>
          <t>Latin America &amp; Caribbean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33" t="n"/>
      <c r="AO138" s="33" t="n"/>
      <c r="AP138" s="8">
        <f>SUM(P138:AA138)</f>
        <v/>
      </c>
      <c r="AQ138" s="8">
        <f>SUM(AB138:AM138)</f>
        <v/>
      </c>
      <c r="AR138" s="9" t="n"/>
      <c r="AS138" s="9" t="n"/>
      <c r="AT138" s="50" t="inlineStr">
        <is>
          <t>UN WPP 2024</t>
        </is>
      </c>
    </row>
    <row r="139">
      <c r="A139" s="3" t="inlineStr">
        <is>
          <t>BLM</t>
        </is>
      </c>
      <c r="B139" s="4" t="inlineStr">
        <is>
          <t>Saint Barthélemy</t>
        </is>
      </c>
      <c r="C139" s="5" t="inlineStr">
        <is>
          <t>Latin America &amp; Caribbean</t>
        </is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33" t="n"/>
      <c r="AO139" s="33" t="n"/>
      <c r="AP139" s="8">
        <f>SUM(P139:AA139)</f>
        <v/>
      </c>
      <c r="AQ139" s="8">
        <f>SUM(AB139:AM139)</f>
        <v/>
      </c>
      <c r="AR139" s="9" t="n"/>
      <c r="AS139" s="9" t="n"/>
      <c r="AT139" s="50" t="inlineStr">
        <is>
          <t>UN WPP 2024</t>
        </is>
      </c>
    </row>
    <row r="140">
      <c r="A140" s="3" t="inlineStr">
        <is>
          <t>KNA</t>
        </is>
      </c>
      <c r="B140" s="4" t="inlineStr">
        <is>
          <t>Saint Kitts and Nevis</t>
        </is>
      </c>
      <c r="C140" s="5" t="inlineStr">
        <is>
          <t>Latin America &amp; Caribbean</t>
        </is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33" t="n"/>
      <c r="AO140" s="33" t="n"/>
      <c r="AP140" s="8">
        <f>SUM(P140:AA140)</f>
        <v/>
      </c>
      <c r="AQ140" s="8">
        <f>SUM(AB140:AM140)</f>
        <v/>
      </c>
      <c r="AR140" s="9" t="n"/>
      <c r="AS140" s="9" t="n"/>
      <c r="AT140" s="50" t="inlineStr">
        <is>
          <t>UN WPP 2024</t>
        </is>
      </c>
    </row>
    <row r="141">
      <c r="A141" s="3" t="inlineStr">
        <is>
          <t>LCA</t>
        </is>
      </c>
      <c r="B141" s="4" t="inlineStr">
        <is>
          <t>Saint Lucia</t>
        </is>
      </c>
      <c r="C141" s="5" t="inlineStr">
        <is>
          <t>Latin America &amp; Caribbean</t>
        </is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33" t="n"/>
      <c r="AO141" s="33" t="n"/>
      <c r="AP141" s="8">
        <f>SUM(P141:AA141)</f>
        <v/>
      </c>
      <c r="AQ141" s="8">
        <f>SUM(AB141:AM141)</f>
        <v/>
      </c>
      <c r="AR141" s="9" t="n"/>
      <c r="AS141" s="9" t="n"/>
      <c r="AT141" s="50" t="inlineStr">
        <is>
          <t>UN WPP 2024</t>
        </is>
      </c>
    </row>
    <row r="142">
      <c r="A142" s="3" t="inlineStr">
        <is>
          <t>MAF</t>
        </is>
      </c>
      <c r="B142" s="4" t="inlineStr">
        <is>
          <t>Saint Martin (French part)</t>
        </is>
      </c>
      <c r="C142" s="5" t="inlineStr">
        <is>
          <t>Latin America &amp; Caribbean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33" t="n"/>
      <c r="AO142" s="33" t="n"/>
      <c r="AP142" s="8">
        <f>SUM(P142:AA142)</f>
        <v/>
      </c>
      <c r="AQ142" s="8">
        <f>SUM(AB142:AM142)</f>
        <v/>
      </c>
      <c r="AR142" s="9" t="n"/>
      <c r="AS142" s="9" t="n"/>
      <c r="AT142" s="50" t="inlineStr">
        <is>
          <t>UN WPP 2024</t>
        </is>
      </c>
    </row>
    <row r="143">
      <c r="A143" s="3" t="inlineStr">
        <is>
          <t>VCT</t>
        </is>
      </c>
      <c r="B143" s="4" t="inlineStr">
        <is>
          <t>Saint Vincent and the Grenadines</t>
        </is>
      </c>
      <c r="C143" s="5" t="inlineStr">
        <is>
          <t>Latin America &amp; Caribbean</t>
        </is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33" t="n"/>
      <c r="AO143" s="33" t="n"/>
      <c r="AP143" s="8">
        <f>SUM(P143:AA143)</f>
        <v/>
      </c>
      <c r="AQ143" s="8">
        <f>SUM(AB143:AM143)</f>
        <v/>
      </c>
      <c r="AR143" s="9" t="n"/>
      <c r="AS143" s="9" t="n"/>
      <c r="AT143" s="50" t="inlineStr">
        <is>
          <t>DRE</t>
        </is>
      </c>
    </row>
    <row r="144">
      <c r="A144" s="3" t="inlineStr">
        <is>
          <t>SXM</t>
        </is>
      </c>
      <c r="B144" s="4" t="inlineStr">
        <is>
          <t>Sint Maarten (Dutch part)</t>
        </is>
      </c>
      <c r="C144" s="5" t="inlineStr">
        <is>
          <t>Latin America &amp; Caribbean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33" t="n"/>
      <c r="AO144" s="33" t="n"/>
      <c r="AP144" s="8">
        <f>SUM(P144:AA144)</f>
        <v/>
      </c>
      <c r="AQ144" s="8">
        <f>SUM(AB144:AM144)</f>
        <v/>
      </c>
      <c r="AR144" s="9" t="n"/>
      <c r="AS144" s="9" t="n"/>
      <c r="AT144" s="50" t="inlineStr">
        <is>
          <t>UN WPP 2024</t>
        </is>
      </c>
    </row>
    <row r="145">
      <c r="A145" s="3" t="inlineStr">
        <is>
          <t>TTO</t>
        </is>
      </c>
      <c r="B145" s="4" t="inlineStr">
        <is>
          <t>Trinidad and Tobago</t>
        </is>
      </c>
      <c r="C145" s="5" t="inlineStr">
        <is>
          <t>Latin America &amp; Caribbean</t>
        </is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5" t="n"/>
      <c r="N145" s="5" t="n"/>
      <c r="O145" s="5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33" t="n"/>
      <c r="AO145" s="33" t="n"/>
      <c r="AP145" s="8">
        <f>SUM(P145:AA145)</f>
        <v/>
      </c>
      <c r="AQ145" s="8">
        <f>SUM(AB145:AM145)</f>
        <v/>
      </c>
      <c r="AR145" s="9" t="n"/>
      <c r="AS145" s="9" t="n"/>
      <c r="AT145" s="50" t="inlineStr">
        <is>
          <t>UN WPP 2024</t>
        </is>
      </c>
    </row>
    <row r="146">
      <c r="A146" s="3" t="inlineStr">
        <is>
          <t>TCA</t>
        </is>
      </c>
      <c r="B146" s="4" t="inlineStr">
        <is>
          <t>Turks and Caicos Islands</t>
        </is>
      </c>
      <c r="C146" s="5" t="inlineStr">
        <is>
          <t>Latin America &amp; Caribbean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33" t="n"/>
      <c r="AO146" s="33" t="n"/>
      <c r="AP146" s="8">
        <f>SUM(P146:AA146)</f>
        <v/>
      </c>
      <c r="AQ146" s="8">
        <f>SUM(AB146:AM146)</f>
        <v/>
      </c>
      <c r="AR146" s="9" t="n"/>
      <c r="AS146" s="9" t="n"/>
      <c r="AT146" s="50" t="inlineStr">
        <is>
          <t>UN WPP 2024</t>
        </is>
      </c>
    </row>
    <row r="147">
      <c r="A147" s="3" t="inlineStr">
        <is>
          <t>VIR</t>
        </is>
      </c>
      <c r="B147" s="4" t="inlineStr">
        <is>
          <t>United States Virgin Islands</t>
        </is>
      </c>
      <c r="C147" s="5" t="inlineStr">
        <is>
          <t>Latin America &amp; Caribbean</t>
        </is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33" t="n"/>
      <c r="AO147" s="33" t="n"/>
      <c r="AP147" s="8">
        <f>SUM(P147:AA147)</f>
        <v/>
      </c>
      <c r="AQ147" s="8">
        <f>SUM(AB147:AM147)</f>
        <v/>
      </c>
      <c r="AR147" s="9" t="n"/>
      <c r="AS147" s="9" t="n"/>
      <c r="AT147" s="50" t="inlineStr">
        <is>
          <t>DRE</t>
        </is>
      </c>
    </row>
    <row r="148">
      <c r="A148" s="40" t="inlineStr">
        <is>
          <t>CAUCASUS &amp; TÜRKIYE</t>
        </is>
      </c>
      <c r="AN148" s="66" t="n"/>
      <c r="AP148" s="8">
        <f>SUM(P95:AA95)</f>
        <v/>
      </c>
      <c r="AQ148" s="8">
        <f>SUM(AB95:AM95)</f>
        <v/>
      </c>
    </row>
    <row r="149">
      <c r="A149" s="3" t="inlineStr">
        <is>
          <t>ARM</t>
        </is>
      </c>
      <c r="B149" s="4" t="inlineStr">
        <is>
          <t>Armenia</t>
        </is>
      </c>
      <c r="C149" s="5" t="inlineStr">
        <is>
          <t>Caucasus &amp; Türkiye</t>
        </is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6">
        <f>7302/3</f>
        <v/>
      </c>
      <c r="Q149" s="28" t="n">
        <v>2434</v>
      </c>
      <c r="R149" s="28" t="n">
        <v>2434</v>
      </c>
      <c r="S149" s="6">
        <f>8825/3</f>
        <v/>
      </c>
      <c r="T149" s="6">
        <f>8825/3</f>
        <v/>
      </c>
      <c r="U149" s="6">
        <f>8825/3</f>
        <v/>
      </c>
      <c r="V149" s="6">
        <f>7571/3</f>
        <v/>
      </c>
      <c r="W149" s="6">
        <f>7571/3</f>
        <v/>
      </c>
      <c r="X149" s="6">
        <f>7571/3</f>
        <v/>
      </c>
      <c r="Y149" s="6" t="n">
        <v>2705</v>
      </c>
      <c r="Z149" s="6">
        <f>(8405-Y149)/2</f>
        <v/>
      </c>
      <c r="AA149" s="28" t="n">
        <v>2850</v>
      </c>
      <c r="AB149" s="7">
        <f>7272/3</f>
        <v/>
      </c>
      <c r="AC149" s="7">
        <f>7272/3</f>
        <v/>
      </c>
      <c r="AD149" s="7">
        <f>7272/3</f>
        <v/>
      </c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33" t="n"/>
      <c r="AO149" s="33" t="n"/>
      <c r="AP149" s="8">
        <f>SUM(P149:AA149)</f>
        <v/>
      </c>
      <c r="AQ149" s="8">
        <f>SUM(AB149:AM149)</f>
        <v/>
      </c>
      <c r="AR149" s="17" t="inlineStr">
        <is>
          <t>https://armstat.am/en/?nid=12&amp;id=11014</t>
        </is>
      </c>
      <c r="AS149" s="9" t="inlineStr">
        <is>
          <t>Quarterly - 2 month lag</t>
        </is>
      </c>
      <c r="AT149" s="50" t="inlineStr">
        <is>
          <t>NSO</t>
        </is>
      </c>
    </row>
    <row r="150">
      <c r="A150" s="3" t="inlineStr">
        <is>
          <t>AZE</t>
        </is>
      </c>
      <c r="B150" s="4" t="inlineStr">
        <is>
          <t>Azerbaijan</t>
        </is>
      </c>
      <c r="C150" s="5" t="inlineStr">
        <is>
          <t>Caucasus &amp; Türkiye</t>
        </is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33" t="n">
        <v>112620</v>
      </c>
      <c r="AO150" s="33" t="n">
        <v>102310</v>
      </c>
      <c r="AP150" s="8" t="n">
        <v>95875</v>
      </c>
      <c r="AQ150" s="8">
        <f>SUM(AB150:AM150)</f>
        <v/>
      </c>
      <c r="AR150" s="17" t="inlineStr">
        <is>
          <t>https://president.az/en/pages/view/azerbaijan/population#birth_death_natural_increase</t>
        </is>
      </c>
      <c r="AS150" s="9" t="inlineStr">
        <is>
          <t>Annual - 3 month lag</t>
        </is>
      </c>
      <c r="AT150" s="50" t="inlineStr">
        <is>
          <t>NSO</t>
        </is>
      </c>
    </row>
    <row r="151">
      <c r="A151" s="3" t="inlineStr">
        <is>
          <t>GEO</t>
        </is>
      </c>
      <c r="B151" s="4" t="inlineStr">
        <is>
          <t>Georgia</t>
        </is>
      </c>
      <c r="C151" s="5" t="inlineStr">
        <is>
          <t>Caucasus &amp; Türkiye</t>
        </is>
      </c>
      <c r="D151" s="45" t="n">
        <v>3383</v>
      </c>
      <c r="E151" s="45" t="n">
        <v>3029</v>
      </c>
      <c r="F151" s="45" t="n">
        <v>3239</v>
      </c>
      <c r="G151" s="45" t="n">
        <v>3113</v>
      </c>
      <c r="H151" s="45" t="n">
        <v>2949</v>
      </c>
      <c r="I151" s="45" t="n">
        <v>3165</v>
      </c>
      <c r="J151" s="45" t="n">
        <v>3613</v>
      </c>
      <c r="K151" s="45" t="n">
        <v>3752</v>
      </c>
      <c r="L151" s="45" t="n">
        <v>3423</v>
      </c>
      <c r="M151" s="45" t="n">
        <v>3488</v>
      </c>
      <c r="N151" s="45" t="n">
        <v>3144</v>
      </c>
      <c r="O151" s="45" t="n">
        <v>3185</v>
      </c>
      <c r="P151" s="6" t="n">
        <v>3167</v>
      </c>
      <c r="Q151" s="6" t="n">
        <v>2773</v>
      </c>
      <c r="R151" s="6" t="n">
        <v>3002</v>
      </c>
      <c r="S151" s="6" t="n">
        <v>2855</v>
      </c>
      <c r="T151" s="6" t="n">
        <v>3043</v>
      </c>
      <c r="U151" s="6" t="n">
        <v>3116</v>
      </c>
      <c r="V151" s="6" t="n">
        <v>3548</v>
      </c>
      <c r="W151" s="6" t="n">
        <v>3448</v>
      </c>
      <c r="X151" s="6" t="n">
        <v>3462</v>
      </c>
      <c r="Y151" s="6" t="n">
        <v>3397</v>
      </c>
      <c r="Z151" s="6" t="n">
        <v>3007</v>
      </c>
      <c r="AA151" s="6" t="n">
        <v>3050</v>
      </c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33" t="n"/>
      <c r="AO151" s="33" t="n">
        <v>39483</v>
      </c>
      <c r="AP151" s="8">
        <f>SUM(P151:AA151)</f>
        <v/>
      </c>
      <c r="AQ151" s="8">
        <f>SUM(AB151:AM151)</f>
        <v/>
      </c>
      <c r="AR151" s="17" t="inlineStr">
        <is>
          <t>https://www.geostat.ge/en/modules/categories/319/births</t>
        </is>
      </c>
      <c r="AS151" s="9" t="inlineStr">
        <is>
          <t>Monthly - 6 month lag</t>
        </is>
      </c>
      <c r="AT151" s="50" t="inlineStr">
        <is>
          <t>NSO</t>
        </is>
      </c>
    </row>
    <row r="152">
      <c r="A152" s="3" t="inlineStr">
        <is>
          <t>TUR</t>
        </is>
      </c>
      <c r="B152" s="4" t="inlineStr">
        <is>
          <t>Turkey</t>
        </is>
      </c>
      <c r="C152" s="5" t="inlineStr">
        <is>
          <t>Caucasus &amp; Türkiye</t>
        </is>
      </c>
      <c r="D152" s="45" t="n">
        <v>84690</v>
      </c>
      <c r="E152" s="45" t="n">
        <v>74259</v>
      </c>
      <c r="F152" s="45" t="n">
        <v>76781</v>
      </c>
      <c r="G152" s="45" t="n">
        <v>73745</v>
      </c>
      <c r="H152" s="45" t="n">
        <v>75754</v>
      </c>
      <c r="I152" s="45" t="n">
        <v>76856</v>
      </c>
      <c r="J152" s="45" t="n">
        <v>87208</v>
      </c>
      <c r="K152" s="45" t="n">
        <v>85270</v>
      </c>
      <c r="L152" s="45" t="n">
        <v>79524</v>
      </c>
      <c r="M152" s="45" t="n">
        <v>78318</v>
      </c>
      <c r="N152" s="45" t="n">
        <v>73158</v>
      </c>
      <c r="O152" s="45" t="n">
        <v>71996</v>
      </c>
      <c r="P152" s="6" t="n">
        <v>76728</v>
      </c>
      <c r="Q152" s="6" t="n">
        <v>64423</v>
      </c>
      <c r="R152" s="6" t="n">
        <v>68770</v>
      </c>
      <c r="S152" s="6" t="n">
        <v>66149</v>
      </c>
      <c r="T152" s="6" t="n">
        <v>69122</v>
      </c>
      <c r="U152" s="6" t="n">
        <v>73481</v>
      </c>
      <c r="V152" s="6" t="n"/>
      <c r="W152" s="6" t="n"/>
      <c r="X152" s="6" t="n"/>
      <c r="Y152" s="6" t="n"/>
      <c r="Z152" s="6" t="n"/>
      <c r="AA152" s="6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33" t="n"/>
      <c r="AO152" s="33" t="n">
        <v>937559</v>
      </c>
      <c r="AP152" s="8">
        <f>SUM(P152:AA152)</f>
        <v/>
      </c>
      <c r="AQ152" s="8">
        <f>SUM(AB152:AM152)</f>
        <v/>
      </c>
      <c r="AR152" s="17" t="inlineStr">
        <is>
          <t>https://ec.europa.eu/eurostat/databrowser/view/demo_fmonth/default/table?lang=en</t>
        </is>
      </c>
      <c r="AS152" s="9" t="inlineStr">
        <is>
          <t>Eurostat demo_fmonth — 2024 full year; 2025 Jan–Jun (6 mo).</t>
        </is>
      </c>
      <c r="AT152" s="50" t="inlineStr">
        <is>
          <t>NSO</t>
        </is>
      </c>
    </row>
    <row r="153">
      <c r="A153" s="40" t="inlineStr">
        <is>
          <t>MIDDLE EAST &amp; NORTH AFRICA</t>
        </is>
      </c>
      <c r="AN153" s="66" t="n"/>
      <c r="AP153" s="8">
        <f>SUM(P100:AA100)</f>
        <v/>
      </c>
      <c r="AQ153" s="8">
        <f>SUM(AB100:AM100)</f>
        <v/>
      </c>
    </row>
    <row r="154">
      <c r="A154" s="3" t="inlineStr">
        <is>
          <t>DZA</t>
        </is>
      </c>
      <c r="B154" s="4" t="inlineStr">
        <is>
          <t>Algeria</t>
        </is>
      </c>
      <c r="C154" s="5" t="inlineStr">
        <is>
          <t>Middle East &amp; North Africa</t>
        </is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33" t="n"/>
      <c r="AO154" s="33" t="n"/>
      <c r="AP154" s="8">
        <f>SUM(P154:AA154)</f>
        <v/>
      </c>
      <c r="AQ154" s="8">
        <f>SUM(AB154:AM154)</f>
        <v/>
      </c>
      <c r="AR154" s="9" t="n"/>
      <c r="AS154" s="9" t="n"/>
      <c r="AT154" s="50" t="inlineStr">
        <is>
          <t>DRE</t>
        </is>
      </c>
    </row>
    <row r="155">
      <c r="A155" s="3" t="inlineStr">
        <is>
          <t>EGY</t>
        </is>
      </c>
      <c r="B155" s="4" t="inlineStr">
        <is>
          <t>Egypt</t>
        </is>
      </c>
      <c r="C155" s="5" t="inlineStr">
        <is>
          <t>Middle East &amp; North Africa</t>
        </is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33" t="n"/>
      <c r="AO155" s="33" t="n"/>
      <c r="AP155" s="8">
        <f>SUM(P155:AA155)</f>
        <v/>
      </c>
      <c r="AQ155" s="8">
        <f>SUM(AB155:AM155)</f>
        <v/>
      </c>
      <c r="AR155" s="9" t="n"/>
      <c r="AS155" s="9" t="n"/>
      <c r="AT155" s="50" t="inlineStr">
        <is>
          <t>DRE</t>
        </is>
      </c>
    </row>
    <row r="156">
      <c r="A156" s="3" t="inlineStr">
        <is>
          <t>IRN</t>
        </is>
      </c>
      <c r="B156" s="4" t="inlineStr">
        <is>
          <t>Iran</t>
        </is>
      </c>
      <c r="C156" s="5" t="inlineStr">
        <is>
          <t>Middle East &amp; North Africa</t>
        </is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33" t="n"/>
      <c r="AO156" s="33" t="n"/>
      <c r="AP156" s="8">
        <f>SUM(P156:AA156)</f>
        <v/>
      </c>
      <c r="AQ156" s="8">
        <f>SUM(AB156:AM156)</f>
        <v/>
      </c>
      <c r="AR156" s="9" t="n"/>
      <c r="AS156" s="9" t="n"/>
      <c r="AT156" s="50" t="inlineStr">
        <is>
          <t>DRE</t>
        </is>
      </c>
    </row>
    <row r="157">
      <c r="A157" s="3" t="inlineStr">
        <is>
          <t>IRQ</t>
        </is>
      </c>
      <c r="B157" s="4" t="inlineStr">
        <is>
          <t>Iraq</t>
        </is>
      </c>
      <c r="C157" s="5" t="inlineStr">
        <is>
          <t>Middle East &amp; North Africa</t>
        </is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33" t="n"/>
      <c r="AO157" s="33" t="n"/>
      <c r="AP157" s="8">
        <f>SUM(P157:AA157)</f>
        <v/>
      </c>
      <c r="AQ157" s="8">
        <f>SUM(AB157:AM157)</f>
        <v/>
      </c>
      <c r="AR157" s="9" t="n"/>
      <c r="AS157" s="9" t="n"/>
      <c r="AT157" s="50" t="inlineStr">
        <is>
          <t>UN WPP 2024</t>
        </is>
      </c>
    </row>
    <row r="158">
      <c r="A158" s="3" t="inlineStr">
        <is>
          <t>ISR</t>
        </is>
      </c>
      <c r="B158" s="4" t="inlineStr">
        <is>
          <t>Israel</t>
        </is>
      </c>
      <c r="C158" s="5" t="inlineStr">
        <is>
          <t>Middle East &amp; North Africa</t>
        </is>
      </c>
      <c r="D158" s="5" t="n">
        <v>15746</v>
      </c>
      <c r="E158" s="5" t="n">
        <v>14086</v>
      </c>
      <c r="F158" s="5" t="n">
        <v>14765</v>
      </c>
      <c r="G158" s="5" t="n">
        <v>14010</v>
      </c>
      <c r="H158" s="5" t="n">
        <v>14697</v>
      </c>
      <c r="I158" s="5" t="n">
        <v>13847</v>
      </c>
      <c r="J158" s="5" t="n">
        <v>14338</v>
      </c>
      <c r="K158" s="5" t="n">
        <v>16194</v>
      </c>
      <c r="L158" s="5" t="n">
        <v>16239</v>
      </c>
      <c r="M158" s="5" t="n">
        <v>16453</v>
      </c>
      <c r="N158" s="5" t="n">
        <v>15291</v>
      </c>
      <c r="O158" s="5" t="n">
        <v>15948</v>
      </c>
      <c r="P158" s="6" t="n">
        <v>15867</v>
      </c>
      <c r="Q158" s="6" t="n">
        <v>13733</v>
      </c>
      <c r="R158" s="6" t="n">
        <v>14717</v>
      </c>
      <c r="S158" s="6" t="n">
        <v>14146</v>
      </c>
      <c r="T158" s="6" t="n">
        <v>14734</v>
      </c>
      <c r="U158" s="6" t="n">
        <v>14313</v>
      </c>
      <c r="V158" s="6" t="n">
        <v>15735</v>
      </c>
      <c r="W158" s="6" t="n">
        <v>16366</v>
      </c>
      <c r="X158" s="6" t="n">
        <v>16475</v>
      </c>
      <c r="Y158" s="6" t="n">
        <v>15997</v>
      </c>
      <c r="Z158" s="6" t="n">
        <v>15407</v>
      </c>
      <c r="AA158" s="6" t="n">
        <v>16376</v>
      </c>
      <c r="AB158" s="7" t="n">
        <v>15364</v>
      </c>
      <c r="AC158" s="7" t="n">
        <v>13658</v>
      </c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33" t="n"/>
      <c r="AO158" s="33" t="n">
        <v>181614</v>
      </c>
      <c r="AP158" s="8">
        <f>SUM(P158:AA158)</f>
        <v/>
      </c>
      <c r="AQ158" s="8">
        <f>SUM(AB158:AM158)</f>
        <v/>
      </c>
      <c r="AR158" s="9" t="inlineStr">
        <is>
          <t>https://www.cbs.gov.il/en/publications/Pages/2026/Monthly-Bulletin-of-Statistics-April-2026.aspx</t>
        </is>
      </c>
      <c r="AS158" s="9" t="inlineStr">
        <is>
          <t>Monthly - 6 month lag</t>
        </is>
      </c>
      <c r="AT158" s="50" t="inlineStr">
        <is>
          <t>NSO</t>
        </is>
      </c>
    </row>
    <row r="159">
      <c r="A159" s="3" t="inlineStr">
        <is>
          <t>JOR</t>
        </is>
      </c>
      <c r="B159" s="4" t="inlineStr">
        <is>
          <t>Jordan</t>
        </is>
      </c>
      <c r="C159" s="5" t="inlineStr">
        <is>
          <t>Middle East &amp; North Africa</t>
        </is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33" t="n"/>
      <c r="AO159" s="33" t="n"/>
      <c r="AP159" s="8">
        <f>SUM(P159:AA159)</f>
        <v/>
      </c>
      <c r="AQ159" s="8">
        <f>SUM(AB159:AM159)</f>
        <v/>
      </c>
      <c r="AR159" s="9" t="n"/>
      <c r="AS159" s="9" t="n"/>
      <c r="AT159" s="50" t="inlineStr">
        <is>
          <t>DRE</t>
        </is>
      </c>
    </row>
    <row r="160">
      <c r="A160" s="3" t="inlineStr">
        <is>
          <t>PSE</t>
        </is>
      </c>
      <c r="B160" s="4" t="inlineStr">
        <is>
          <t>Palestine</t>
        </is>
      </c>
      <c r="C160" s="5" t="inlineStr">
        <is>
          <t>Middle East &amp; North Africa</t>
        </is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33" t="n"/>
      <c r="AO160" s="33" t="n"/>
      <c r="AP160" s="8">
        <f>SUM(P160:AA160)</f>
        <v/>
      </c>
      <c r="AQ160" s="8">
        <f>SUM(AB160:AM160)</f>
        <v/>
      </c>
      <c r="AR160" s="9" t="n"/>
      <c r="AS160" s="9" t="n"/>
      <c r="AT160" s="50" t="inlineStr">
        <is>
          <t>UN WPP 2024</t>
        </is>
      </c>
    </row>
    <row r="161">
      <c r="A161" s="3" t="inlineStr">
        <is>
          <t>TUN</t>
        </is>
      </c>
      <c r="B161" s="4" t="inlineStr">
        <is>
          <t>Tunisia</t>
        </is>
      </c>
      <c r="C161" s="5" t="inlineStr">
        <is>
          <t>Middle East &amp; North Africa</t>
        </is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33" t="n"/>
      <c r="AO161" s="33" t="n"/>
      <c r="AP161" s="8">
        <f>SUM(P161:AA161)</f>
        <v/>
      </c>
      <c r="AQ161" s="8">
        <f>SUM(AB161:AM161)</f>
        <v/>
      </c>
      <c r="AR161" s="9" t="n"/>
      <c r="AS161" s="9" t="n"/>
      <c r="AT161" s="50" t="inlineStr">
        <is>
          <t>DRE</t>
        </is>
      </c>
    </row>
    <row r="162">
      <c r="A162" s="3" t="inlineStr">
        <is>
          <t>LBN</t>
        </is>
      </c>
      <c r="B162" s="4" t="inlineStr">
        <is>
          <t>Lebanon</t>
        </is>
      </c>
      <c r="C162" s="5" t="inlineStr">
        <is>
          <t>Middle East &amp; North Africa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33" t="n"/>
      <c r="AO162" s="33" t="n"/>
      <c r="AP162" s="8">
        <f>SUM(P162:AA162)</f>
        <v/>
      </c>
      <c r="AQ162" s="8">
        <f>SUM(AB162:AM162)</f>
        <v/>
      </c>
      <c r="AR162" s="9" t="n"/>
      <c r="AS162" s="9" t="n"/>
      <c r="AT162" s="50" t="inlineStr">
        <is>
          <t>DRE</t>
        </is>
      </c>
    </row>
    <row r="163">
      <c r="A163" s="3" t="inlineStr">
        <is>
          <t>LBY</t>
        </is>
      </c>
      <c r="B163" s="4" t="inlineStr">
        <is>
          <t>Libya</t>
        </is>
      </c>
      <c r="C163" s="5" t="inlineStr">
        <is>
          <t>Middle East &amp; North Africa</t>
        </is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33" t="n"/>
      <c r="AO163" s="33" t="n"/>
      <c r="AP163" s="8">
        <f>SUM(P163:AA163)</f>
        <v/>
      </c>
      <c r="AQ163" s="8">
        <f>SUM(AB163:AM163)</f>
        <v/>
      </c>
      <c r="AR163" s="9" t="n"/>
      <c r="AS163" s="9" t="n"/>
      <c r="AT163" s="50" t="inlineStr">
        <is>
          <t>UN WPP 2024</t>
        </is>
      </c>
    </row>
    <row r="164">
      <c r="A164" s="3" t="inlineStr">
        <is>
          <t>MAR</t>
        </is>
      </c>
      <c r="B164" s="4" t="inlineStr">
        <is>
          <t>Morocco</t>
        </is>
      </c>
      <c r="C164" s="5" t="inlineStr">
        <is>
          <t>Middle East &amp; North Africa</t>
        </is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33" t="n"/>
      <c r="AO164" s="33" t="n"/>
      <c r="AP164" s="8">
        <f>SUM(P164:AA164)</f>
        <v/>
      </c>
      <c r="AQ164" s="8">
        <f>SUM(AB164:AM164)</f>
        <v/>
      </c>
      <c r="AR164" s="9" t="n"/>
      <c r="AS164" s="9" t="n"/>
      <c r="AT164" s="50" t="inlineStr">
        <is>
          <t>DRE</t>
        </is>
      </c>
    </row>
    <row r="165">
      <c r="A165" s="3" t="inlineStr">
        <is>
          <t>SDN</t>
        </is>
      </c>
      <c r="B165" s="4" t="inlineStr">
        <is>
          <t>Sudan</t>
        </is>
      </c>
      <c r="C165" s="5" t="inlineStr">
        <is>
          <t>Middle East &amp; North Africa</t>
        </is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33" t="n"/>
      <c r="AO165" s="33" t="n"/>
      <c r="AP165" s="8">
        <f>SUM(P165:AA165)</f>
        <v/>
      </c>
      <c r="AQ165" s="8">
        <f>SUM(AB165:AM165)</f>
        <v/>
      </c>
      <c r="AR165" s="9" t="n"/>
      <c r="AS165" s="9" t="n"/>
      <c r="AT165" s="50" t="inlineStr">
        <is>
          <t>UN WPP 2024</t>
        </is>
      </c>
    </row>
    <row r="166">
      <c r="A166" s="3" t="inlineStr">
        <is>
          <t>SYR</t>
        </is>
      </c>
      <c r="B166" s="4" t="inlineStr">
        <is>
          <t>Syrian Arab Republic</t>
        </is>
      </c>
      <c r="C166" s="5" t="inlineStr">
        <is>
          <t>Middle East &amp; North Africa</t>
        </is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33" t="n"/>
      <c r="AO166" s="33" t="n"/>
      <c r="AP166" s="8">
        <f>SUM(P166:AA166)</f>
        <v/>
      </c>
      <c r="AQ166" s="8">
        <f>SUM(AB166:AM166)</f>
        <v/>
      </c>
      <c r="AR166" s="9" t="n"/>
      <c r="AS166" s="9" t="n"/>
      <c r="AT166" s="50" t="inlineStr">
        <is>
          <t>UN WPP 2024</t>
        </is>
      </c>
    </row>
    <row r="167">
      <c r="A167" s="3" t="inlineStr">
        <is>
          <t>ESH</t>
        </is>
      </c>
      <c r="B167" s="4" t="inlineStr">
        <is>
          <t>Western Sahara</t>
        </is>
      </c>
      <c r="C167" s="5" t="inlineStr">
        <is>
          <t>Middle East &amp; North Africa</t>
        </is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33" t="n"/>
      <c r="AO167" s="33" t="n"/>
      <c r="AP167" s="8">
        <f>SUM(P167:AA167)</f>
        <v/>
      </c>
      <c r="AQ167" s="8">
        <f>SUM(AB167:AM167)</f>
        <v/>
      </c>
      <c r="AR167" s="9" t="n"/>
      <c r="AS167" s="9" t="n"/>
      <c r="AT167" s="50" t="inlineStr">
        <is>
          <t>UN WPP 2024</t>
        </is>
      </c>
    </row>
    <row r="168">
      <c r="A168" s="3" t="inlineStr">
        <is>
          <t>YEM</t>
        </is>
      </c>
      <c r="B168" s="4" t="inlineStr">
        <is>
          <t>Yemen</t>
        </is>
      </c>
      <c r="C168" s="5" t="inlineStr">
        <is>
          <t>Middle East &amp; North Africa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33" t="n"/>
      <c r="AO168" s="33" t="n"/>
      <c r="AP168" s="8">
        <f>SUM(P168:AA168)</f>
        <v/>
      </c>
      <c r="AQ168" s="8">
        <f>SUM(AB168:AM168)</f>
        <v/>
      </c>
      <c r="AR168" s="9" t="n"/>
      <c r="AS168" s="9" t="n"/>
      <c r="AT168" s="50" t="inlineStr">
        <is>
          <t>UN WPP 2024</t>
        </is>
      </c>
    </row>
    <row r="169">
      <c r="A169" s="40" t="inlineStr">
        <is>
          <t>GULF (NATIONALS)</t>
        </is>
      </c>
      <c r="AN169" s="66" t="n"/>
      <c r="AP169" s="8">
        <f>SUM(P109:AA109)</f>
        <v/>
      </c>
      <c r="AQ169" s="8">
        <f>SUM(AB109:AM109)</f>
        <v/>
      </c>
    </row>
    <row r="170">
      <c r="A170" s="3" t="inlineStr">
        <is>
          <t>BHR</t>
        </is>
      </c>
      <c r="B170" s="4" t="inlineStr">
        <is>
          <t>Bahrain</t>
        </is>
      </c>
      <c r="C170" s="5" t="inlineStr">
        <is>
          <t>Gulf (nationals)</t>
        </is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33" t="n"/>
      <c r="AO170" s="33" t="n"/>
      <c r="AP170" s="8">
        <f>SUM(P170:AA170)</f>
        <v/>
      </c>
      <c r="AQ170" s="8">
        <f>SUM(AB170:AM170)</f>
        <v/>
      </c>
      <c r="AR170" s="9" t="n"/>
      <c r="AS170" s="9" t="n"/>
      <c r="AT170" s="50" t="inlineStr">
        <is>
          <t>DRE</t>
        </is>
      </c>
    </row>
    <row r="171">
      <c r="A171" s="3" t="inlineStr">
        <is>
          <t>KWT</t>
        </is>
      </c>
      <c r="B171" s="4" t="inlineStr">
        <is>
          <t>Kuwait</t>
        </is>
      </c>
      <c r="C171" s="5" t="inlineStr">
        <is>
          <t>Gulf (nationals)</t>
        </is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33" t="n"/>
      <c r="AO171" s="33" t="n"/>
      <c r="AP171" s="8">
        <f>SUM(P171:AA171)</f>
        <v/>
      </c>
      <c r="AQ171" s="8">
        <f>SUM(AB171:AM171)</f>
        <v/>
      </c>
      <c r="AR171" s="9" t="n"/>
      <c r="AS171" s="9" t="n"/>
      <c r="AT171" s="50" t="inlineStr">
        <is>
          <t>DRE</t>
        </is>
      </c>
    </row>
    <row r="172">
      <c r="A172" s="3" t="inlineStr">
        <is>
          <t>OMN</t>
        </is>
      </c>
      <c r="B172" s="4" t="inlineStr">
        <is>
          <t>Oman</t>
        </is>
      </c>
      <c r="C172" s="5" t="inlineStr">
        <is>
          <t>Gulf (nationals)</t>
        </is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33" t="n"/>
      <c r="AO172" s="33" t="n"/>
      <c r="AP172" s="8">
        <f>SUM(P172:AA172)</f>
        <v/>
      </c>
      <c r="AQ172" s="8">
        <f>SUM(AB172:AM172)</f>
        <v/>
      </c>
      <c r="AR172" s="9" t="n"/>
      <c r="AS172" s="9" t="n"/>
      <c r="AT172" s="50" t="inlineStr">
        <is>
          <t>DRE</t>
        </is>
      </c>
    </row>
    <row r="173">
      <c r="A173" s="3" t="inlineStr">
        <is>
          <t>QAT</t>
        </is>
      </c>
      <c r="B173" s="4" t="inlineStr">
        <is>
          <t>Qatar</t>
        </is>
      </c>
      <c r="C173" s="5" t="inlineStr">
        <is>
          <t>Gulf (nationals)</t>
        </is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33" t="n"/>
      <c r="AO173" s="33" t="n"/>
      <c r="AP173" s="8">
        <f>SUM(P173:AA173)</f>
        <v/>
      </c>
      <c r="AQ173" s="8">
        <f>SUM(AB173:AM173)</f>
        <v/>
      </c>
      <c r="AR173" s="9" t="n"/>
      <c r="AS173" s="9" t="n"/>
      <c r="AT173" s="50" t="inlineStr">
        <is>
          <t>DRE</t>
        </is>
      </c>
    </row>
    <row r="174">
      <c r="A174" s="3" t="inlineStr">
        <is>
          <t>SAU</t>
        </is>
      </c>
      <c r="B174" s="4" t="inlineStr">
        <is>
          <t>Saudi Arabia</t>
        </is>
      </c>
      <c r="C174" s="5" t="inlineStr">
        <is>
          <t>Gulf (nationals)</t>
        </is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33" t="n"/>
      <c r="AO174" s="33" t="n"/>
      <c r="AP174" s="8">
        <f>SUM(P174:AA174)</f>
        <v/>
      </c>
      <c r="AQ174" s="8">
        <f>SUM(AB174:AM174)</f>
        <v/>
      </c>
      <c r="AR174" s="9" t="n"/>
      <c r="AS174" s="9" t="n"/>
      <c r="AT174" s="50" t="inlineStr">
        <is>
          <t>DRE</t>
        </is>
      </c>
    </row>
    <row r="175">
      <c r="A175" s="3" t="inlineStr">
        <is>
          <t>ARE</t>
        </is>
      </c>
      <c r="B175" s="4" t="inlineStr">
        <is>
          <t>U. Arab Emirates</t>
        </is>
      </c>
      <c r="C175" s="5" t="inlineStr">
        <is>
          <t>Gulf (nationals)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33" t="n"/>
      <c r="AO175" s="33" t="n"/>
      <c r="AP175" s="8">
        <f>SUM(P175:AA175)</f>
        <v/>
      </c>
      <c r="AQ175" s="8">
        <f>SUM(AB175:AM175)</f>
        <v/>
      </c>
      <c r="AR175" s="9" t="n"/>
      <c r="AS175" s="9" t="n"/>
      <c r="AT175" s="50" t="inlineStr">
        <is>
          <t>UN WPP 2024</t>
        </is>
      </c>
    </row>
    <row r="176">
      <c r="A176" s="40" t="inlineStr">
        <is>
          <t>SUB-SAHARAN AFRICA</t>
        </is>
      </c>
      <c r="AN176" s="66" t="n"/>
      <c r="AP176" s="8">
        <f>SUM(P116:AA116)</f>
        <v/>
      </c>
      <c r="AQ176" s="8">
        <f>SUM(AB116:AM116)</f>
        <v/>
      </c>
    </row>
    <row r="177">
      <c r="A177" s="3" t="inlineStr">
        <is>
          <t>MUS</t>
        </is>
      </c>
      <c r="B177" s="4" t="inlineStr">
        <is>
          <t>Mauritius</t>
        </is>
      </c>
      <c r="C177" s="5" t="inlineStr">
        <is>
          <t>Sub-Saharan Africa</t>
        </is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33" t="n"/>
      <c r="AO177" s="33" t="n"/>
      <c r="AP177" s="8">
        <f>SUM(P177:AA177)</f>
        <v/>
      </c>
      <c r="AQ177" s="8">
        <f>SUM(AB177:AM177)</f>
        <v/>
      </c>
      <c r="AR177" s="9" t="n"/>
      <c r="AS177" s="9" t="n"/>
      <c r="AT177" s="50" t="inlineStr">
        <is>
          <t>DRE</t>
        </is>
      </c>
    </row>
    <row r="178">
      <c r="A178" s="3" t="inlineStr">
        <is>
          <t>ZAF</t>
        </is>
      </c>
      <c r="B178" s="4" t="inlineStr">
        <is>
          <t>South Africa</t>
        </is>
      </c>
      <c r="C178" s="5" t="inlineStr">
        <is>
          <t>Sub-Saharan Africa</t>
        </is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33" t="n"/>
      <c r="AO178" s="33" t="n"/>
      <c r="AP178" s="8">
        <f>SUM(P178:AA178)</f>
        <v/>
      </c>
      <c r="AQ178" s="8">
        <f>SUM(AB178:AM178)</f>
        <v/>
      </c>
      <c r="AR178" s="9" t="n"/>
      <c r="AS178" s="9" t="n"/>
      <c r="AT178" s="50" t="inlineStr">
        <is>
          <t>DRE</t>
        </is>
      </c>
    </row>
    <row r="179">
      <c r="A179" s="3" t="inlineStr">
        <is>
          <t>AGO</t>
        </is>
      </c>
      <c r="B179" s="4" t="inlineStr">
        <is>
          <t>Angola</t>
        </is>
      </c>
      <c r="C179" s="5" t="inlineStr">
        <is>
          <t>Sub-Saharan Africa</t>
        </is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33" t="n"/>
      <c r="AO179" s="33" t="n"/>
      <c r="AP179" s="8">
        <f>SUM(P179:AA179)</f>
        <v/>
      </c>
      <c r="AQ179" s="8">
        <f>SUM(AB179:AM179)</f>
        <v/>
      </c>
      <c r="AR179" s="9" t="n"/>
      <c r="AS179" s="9" t="n"/>
      <c r="AT179" s="50" t="inlineStr">
        <is>
          <t>UN WPP 2024</t>
        </is>
      </c>
    </row>
    <row r="180">
      <c r="A180" s="3" t="inlineStr">
        <is>
          <t>BEN</t>
        </is>
      </c>
      <c r="B180" s="4" t="inlineStr">
        <is>
          <t>Benin</t>
        </is>
      </c>
      <c r="C180" s="5" t="inlineStr">
        <is>
          <t>Sub-Saharan Africa</t>
        </is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33" t="n"/>
      <c r="AO180" s="33" t="n"/>
      <c r="AP180" s="8">
        <f>SUM(P180:AA180)</f>
        <v/>
      </c>
      <c r="AQ180" s="8">
        <f>SUM(AB180:AM180)</f>
        <v/>
      </c>
      <c r="AR180" s="9" t="n"/>
      <c r="AS180" s="9" t="n"/>
      <c r="AT180" s="50" t="inlineStr">
        <is>
          <t>UN WPP 2024</t>
        </is>
      </c>
    </row>
    <row r="181">
      <c r="A181" s="3" t="inlineStr">
        <is>
          <t>BWA</t>
        </is>
      </c>
      <c r="B181" s="4" t="inlineStr">
        <is>
          <t>Botswana</t>
        </is>
      </c>
      <c r="C181" s="5" t="inlineStr">
        <is>
          <t>Sub-Saharan Africa</t>
        </is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33" t="n"/>
      <c r="AO181" s="33" t="n"/>
      <c r="AP181" s="8">
        <f>SUM(P181:AA181)</f>
        <v/>
      </c>
      <c r="AQ181" s="8">
        <f>SUM(AB181:AM181)</f>
        <v/>
      </c>
      <c r="AR181" s="9" t="n"/>
      <c r="AS181" s="9" t="n"/>
      <c r="AT181" s="50" t="inlineStr">
        <is>
          <t>UN WPP 2024</t>
        </is>
      </c>
    </row>
    <row r="182">
      <c r="A182" s="3" t="inlineStr">
        <is>
          <t>BFA</t>
        </is>
      </c>
      <c r="B182" s="4" t="inlineStr">
        <is>
          <t>Burkina Faso</t>
        </is>
      </c>
      <c r="C182" s="5" t="inlineStr">
        <is>
          <t>Sub-Saharan Africa</t>
        </is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33" t="n"/>
      <c r="AO182" s="33" t="n"/>
      <c r="AP182" s="8">
        <f>SUM(P182:AA182)</f>
        <v/>
      </c>
      <c r="AQ182" s="8">
        <f>SUM(AB182:AM182)</f>
        <v/>
      </c>
      <c r="AR182" s="9" t="n"/>
      <c r="AS182" s="9" t="n"/>
      <c r="AT182" s="50" t="inlineStr">
        <is>
          <t>UN WPP 2024</t>
        </is>
      </c>
    </row>
    <row r="183">
      <c r="A183" s="3" t="inlineStr">
        <is>
          <t>BDI</t>
        </is>
      </c>
      <c r="B183" s="4" t="inlineStr">
        <is>
          <t>Burundi</t>
        </is>
      </c>
      <c r="C183" s="5" t="inlineStr">
        <is>
          <t>Sub-Saharan Africa</t>
        </is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33" t="n"/>
      <c r="AO183" s="33" t="n"/>
      <c r="AP183" s="8">
        <f>SUM(P183:AA183)</f>
        <v/>
      </c>
      <c r="AQ183" s="8">
        <f>SUM(AB183:AM183)</f>
        <v/>
      </c>
      <c r="AR183" s="9" t="n"/>
      <c r="AS183" s="9" t="n"/>
      <c r="AT183" s="50" t="inlineStr">
        <is>
          <t>UN WPP 2024</t>
        </is>
      </c>
    </row>
    <row r="184">
      <c r="A184" s="3" t="inlineStr">
        <is>
          <t>CPV</t>
        </is>
      </c>
      <c r="B184" s="4" t="inlineStr">
        <is>
          <t>Cabo Verde</t>
        </is>
      </c>
      <c r="C184" s="5" t="inlineStr">
        <is>
          <t>Sub-Saharan Africa</t>
        </is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33" t="n"/>
      <c r="AO184" s="33" t="n"/>
      <c r="AP184" s="8">
        <f>SUM(P184:AA184)</f>
        <v/>
      </c>
      <c r="AQ184" s="8">
        <f>SUM(AB184:AM184)</f>
        <v/>
      </c>
      <c r="AR184" s="9" t="n"/>
      <c r="AS184" s="9" t="n"/>
      <c r="AT184" s="50" t="inlineStr">
        <is>
          <t>DRE</t>
        </is>
      </c>
    </row>
    <row r="185">
      <c r="A185" s="3" t="inlineStr">
        <is>
          <t>CMR</t>
        </is>
      </c>
      <c r="B185" s="4" t="inlineStr">
        <is>
          <t>Cameroon</t>
        </is>
      </c>
      <c r="C185" s="5" t="inlineStr">
        <is>
          <t>Sub-Saharan Africa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33" t="n"/>
      <c r="AO185" s="33" t="n"/>
      <c r="AP185" s="8">
        <f>SUM(P185:AA185)</f>
        <v/>
      </c>
      <c r="AQ185" s="8">
        <f>SUM(AB185:AM185)</f>
        <v/>
      </c>
      <c r="AR185" s="9" t="n"/>
      <c r="AS185" s="9" t="n"/>
      <c r="AT185" s="50" t="inlineStr">
        <is>
          <t>UN WPP 2024</t>
        </is>
      </c>
    </row>
    <row r="186">
      <c r="A186" s="3" t="inlineStr">
        <is>
          <t>CAF</t>
        </is>
      </c>
      <c r="B186" s="4" t="inlineStr">
        <is>
          <t>Central African Republic</t>
        </is>
      </c>
      <c r="C186" s="5" t="inlineStr">
        <is>
          <t>Sub-Saharan Africa</t>
        </is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33" t="n"/>
      <c r="AO186" s="33" t="n"/>
      <c r="AP186" s="8">
        <f>SUM(P186:AA186)</f>
        <v/>
      </c>
      <c r="AQ186" s="8">
        <f>SUM(AB186:AM186)</f>
        <v/>
      </c>
      <c r="AR186" s="9" t="n"/>
      <c r="AS186" s="9" t="n"/>
      <c r="AT186" s="50" t="inlineStr">
        <is>
          <t>UN WPP 2024</t>
        </is>
      </c>
    </row>
    <row r="187">
      <c r="A187" s="3" t="inlineStr">
        <is>
          <t>TCD</t>
        </is>
      </c>
      <c r="B187" s="4" t="inlineStr">
        <is>
          <t>Chad</t>
        </is>
      </c>
      <c r="C187" s="5" t="inlineStr">
        <is>
          <t>Sub-Saharan Africa</t>
        </is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33" t="n"/>
      <c r="AO187" s="33" t="n"/>
      <c r="AP187" s="8">
        <f>SUM(P187:AA187)</f>
        <v/>
      </c>
      <c r="AQ187" s="8">
        <f>SUM(AB187:AM187)</f>
        <v/>
      </c>
      <c r="AR187" s="9" t="n"/>
      <c r="AS187" s="9" t="n"/>
      <c r="AT187" s="50" t="inlineStr">
        <is>
          <t>UN WPP 2024</t>
        </is>
      </c>
    </row>
    <row r="188">
      <c r="A188" s="3" t="inlineStr">
        <is>
          <t>COM</t>
        </is>
      </c>
      <c r="B188" s="4" t="inlineStr">
        <is>
          <t>Comoros</t>
        </is>
      </c>
      <c r="C188" s="5" t="inlineStr">
        <is>
          <t>Sub-Saharan Africa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33" t="n"/>
      <c r="AO188" s="33" t="n"/>
      <c r="AP188" s="8">
        <f>SUM(P188:AA188)</f>
        <v/>
      </c>
      <c r="AQ188" s="8">
        <f>SUM(AB188:AM188)</f>
        <v/>
      </c>
      <c r="AR188" s="9" t="n"/>
      <c r="AS188" s="9" t="n"/>
      <c r="AT188" s="50" t="inlineStr">
        <is>
          <t>UN WPP 2024</t>
        </is>
      </c>
    </row>
    <row r="189">
      <c r="A189" s="3" t="inlineStr">
        <is>
          <t>COG</t>
        </is>
      </c>
      <c r="B189" s="4" t="inlineStr">
        <is>
          <t>Congo</t>
        </is>
      </c>
      <c r="C189" s="5" t="inlineStr">
        <is>
          <t>Sub-Saharan Africa</t>
        </is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33" t="n"/>
      <c r="AO189" s="33" t="n"/>
      <c r="AP189" s="8">
        <f>SUM(P189:AA189)</f>
        <v/>
      </c>
      <c r="AQ189" s="8">
        <f>SUM(AB189:AM189)</f>
        <v/>
      </c>
      <c r="AR189" s="9" t="n"/>
      <c r="AS189" s="9" t="n"/>
      <c r="AT189" s="50" t="inlineStr">
        <is>
          <t>UN WPP 2024</t>
        </is>
      </c>
    </row>
    <row r="190">
      <c r="A190" s="3" t="inlineStr">
        <is>
          <t>CIV</t>
        </is>
      </c>
      <c r="B190" s="4" t="inlineStr">
        <is>
          <t>Côte d'Ivoire</t>
        </is>
      </c>
      <c r="C190" s="5" t="inlineStr">
        <is>
          <t>Sub-Saharan Africa</t>
        </is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33" t="n"/>
      <c r="AO190" s="33" t="n"/>
      <c r="AP190" s="8">
        <f>SUM(P190:AA190)</f>
        <v/>
      </c>
      <c r="AQ190" s="8">
        <f>SUM(AB190:AM190)</f>
        <v/>
      </c>
      <c r="AR190" s="9" t="n"/>
      <c r="AS190" s="9" t="n"/>
      <c r="AT190" s="50" t="inlineStr">
        <is>
          <t>UN WPP 2024</t>
        </is>
      </c>
    </row>
    <row r="191">
      <c r="A191" s="3" t="inlineStr">
        <is>
          <t>COD</t>
        </is>
      </c>
      <c r="B191" s="4" t="inlineStr">
        <is>
          <t>Dem. Rep. of the Congo</t>
        </is>
      </c>
      <c r="C191" s="5" t="inlineStr">
        <is>
          <t>Sub-Saharan Africa</t>
        </is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33" t="n"/>
      <c r="AO191" s="33" t="n"/>
      <c r="AP191" s="8">
        <f>SUM(P191:AA191)</f>
        <v/>
      </c>
      <c r="AQ191" s="8">
        <f>SUM(AB191:AM191)</f>
        <v/>
      </c>
      <c r="AR191" s="9" t="n"/>
      <c r="AS191" s="9" t="n"/>
      <c r="AT191" s="50" t="inlineStr">
        <is>
          <t>UN WPP 2024</t>
        </is>
      </c>
    </row>
    <row r="192">
      <c r="A192" s="3" t="inlineStr">
        <is>
          <t>DJI</t>
        </is>
      </c>
      <c r="B192" s="4" t="inlineStr">
        <is>
          <t>Djibouti</t>
        </is>
      </c>
      <c r="C192" s="5" t="inlineStr">
        <is>
          <t>Sub-Saharan Africa</t>
        </is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33" t="n"/>
      <c r="AO192" s="33" t="n"/>
      <c r="AP192" s="8">
        <f>SUM(P192:AA192)</f>
        <v/>
      </c>
      <c r="AQ192" s="8">
        <f>SUM(AB192:AM192)</f>
        <v/>
      </c>
      <c r="AR192" s="9" t="n"/>
      <c r="AS192" s="9" t="n"/>
      <c r="AT192" s="50" t="inlineStr">
        <is>
          <t>UN WPP 2024</t>
        </is>
      </c>
    </row>
    <row r="193">
      <c r="A193" s="3" t="inlineStr">
        <is>
          <t>GNQ</t>
        </is>
      </c>
      <c r="B193" s="4" t="inlineStr">
        <is>
          <t>Equatorial Guinea</t>
        </is>
      </c>
      <c r="C193" s="5" t="inlineStr">
        <is>
          <t>Sub-Saharan Africa</t>
        </is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33" t="n"/>
      <c r="AO193" s="33" t="n"/>
      <c r="AP193" s="8">
        <f>SUM(P193:AA193)</f>
        <v/>
      </c>
      <c r="AQ193" s="8">
        <f>SUM(AB193:AM193)</f>
        <v/>
      </c>
      <c r="AR193" s="9" t="n"/>
      <c r="AS193" s="9" t="n"/>
      <c r="AT193" s="50" t="inlineStr">
        <is>
          <t>UN WPP 2024</t>
        </is>
      </c>
    </row>
    <row r="194">
      <c r="A194" s="3" t="inlineStr">
        <is>
          <t>ERI</t>
        </is>
      </c>
      <c r="B194" s="4" t="inlineStr">
        <is>
          <t>Eritrea</t>
        </is>
      </c>
      <c r="C194" s="5" t="inlineStr">
        <is>
          <t>Sub-Saharan Africa</t>
        </is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33" t="n"/>
      <c r="AO194" s="33" t="n"/>
      <c r="AP194" s="8">
        <f>SUM(P194:AA194)</f>
        <v/>
      </c>
      <c r="AQ194" s="8">
        <f>SUM(AB194:AM194)</f>
        <v/>
      </c>
      <c r="AR194" s="9" t="n"/>
      <c r="AS194" s="9" t="n"/>
      <c r="AT194" s="50" t="inlineStr">
        <is>
          <t>UN WPP 2024</t>
        </is>
      </c>
    </row>
    <row r="195">
      <c r="A195" s="3" t="inlineStr">
        <is>
          <t>SWZ</t>
        </is>
      </c>
      <c r="B195" s="4" t="inlineStr">
        <is>
          <t>Eswatini</t>
        </is>
      </c>
      <c r="C195" s="5" t="inlineStr">
        <is>
          <t>Sub-Saharan Africa</t>
        </is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33" t="n"/>
      <c r="AO195" s="33" t="n"/>
      <c r="AP195" s="8">
        <f>SUM(P195:AA195)</f>
        <v/>
      </c>
      <c r="AQ195" s="8">
        <f>SUM(AB195:AM195)</f>
        <v/>
      </c>
      <c r="AR195" s="9" t="n"/>
      <c r="AS195" s="9" t="n"/>
      <c r="AT195" s="50" t="inlineStr">
        <is>
          <t>UN WPP 2024</t>
        </is>
      </c>
    </row>
    <row r="196">
      <c r="A196" s="3" t="inlineStr">
        <is>
          <t>ETH</t>
        </is>
      </c>
      <c r="B196" s="4" t="inlineStr">
        <is>
          <t>Ethiopia</t>
        </is>
      </c>
      <c r="C196" s="5" t="inlineStr">
        <is>
          <t>Sub-Saharan Africa</t>
        </is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33" t="n"/>
      <c r="AO196" s="33" t="n"/>
      <c r="AP196" s="8">
        <f>SUM(P196:AA196)</f>
        <v/>
      </c>
      <c r="AQ196" s="8">
        <f>SUM(AB196:AM196)</f>
        <v/>
      </c>
      <c r="AR196" s="9" t="n"/>
      <c r="AS196" s="9" t="n"/>
      <c r="AT196" s="50" t="inlineStr">
        <is>
          <t>UN WPP 2024</t>
        </is>
      </c>
    </row>
    <row r="197">
      <c r="A197" s="3" t="inlineStr">
        <is>
          <t>GAB</t>
        </is>
      </c>
      <c r="B197" s="4" t="inlineStr">
        <is>
          <t>Gabon</t>
        </is>
      </c>
      <c r="C197" s="5" t="inlineStr">
        <is>
          <t>Sub-Saharan Africa</t>
        </is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33" t="n"/>
      <c r="AO197" s="33" t="n"/>
      <c r="AP197" s="8">
        <f>SUM(P197:AA197)</f>
        <v/>
      </c>
      <c r="AQ197" s="8">
        <f>SUM(AB197:AM197)</f>
        <v/>
      </c>
      <c r="AR197" s="9" t="n"/>
      <c r="AS197" s="9" t="n"/>
      <c r="AT197" s="50" t="inlineStr">
        <is>
          <t>UN WPP 2024</t>
        </is>
      </c>
    </row>
    <row r="198">
      <c r="A198" s="3" t="inlineStr">
        <is>
          <t>GMB</t>
        </is>
      </c>
      <c r="B198" s="4" t="inlineStr">
        <is>
          <t>Gambia</t>
        </is>
      </c>
      <c r="C198" s="5" t="inlineStr">
        <is>
          <t>Sub-Saharan Africa</t>
        </is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33" t="n"/>
      <c r="AO198" s="33" t="n"/>
      <c r="AP198" s="8">
        <f>SUM(P198:AA198)</f>
        <v/>
      </c>
      <c r="AQ198" s="8">
        <f>SUM(AB198:AM198)</f>
        <v/>
      </c>
      <c r="AR198" s="9" t="n"/>
      <c r="AS198" s="9" t="n"/>
      <c r="AT198" s="50" t="inlineStr">
        <is>
          <t>UN WPP 2024</t>
        </is>
      </c>
    </row>
    <row r="199">
      <c r="A199" s="3" t="inlineStr">
        <is>
          <t>GHA</t>
        </is>
      </c>
      <c r="B199" s="4" t="inlineStr">
        <is>
          <t>Ghana</t>
        </is>
      </c>
      <c r="C199" s="5" t="inlineStr">
        <is>
          <t>Sub-Saharan Africa</t>
        </is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33" t="n"/>
      <c r="AO199" s="33" t="n"/>
      <c r="AP199" s="8">
        <f>SUM(P199:AA199)</f>
        <v/>
      </c>
      <c r="AQ199" s="8">
        <f>SUM(AB199:AM199)</f>
        <v/>
      </c>
      <c r="AR199" s="9" t="n"/>
      <c r="AS199" s="9" t="n"/>
      <c r="AT199" s="50" t="inlineStr">
        <is>
          <t>UN WPP 2024</t>
        </is>
      </c>
    </row>
    <row r="200">
      <c r="A200" s="3" t="inlineStr">
        <is>
          <t>GIN</t>
        </is>
      </c>
      <c r="B200" s="4" t="inlineStr">
        <is>
          <t>Guinea</t>
        </is>
      </c>
      <c r="C200" s="5" t="inlineStr">
        <is>
          <t>Sub-Saharan Africa</t>
        </is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33" t="n"/>
      <c r="AO200" s="33" t="n"/>
      <c r="AP200" s="8">
        <f>SUM(P200:AA200)</f>
        <v/>
      </c>
      <c r="AQ200" s="8">
        <f>SUM(AB200:AM200)</f>
        <v/>
      </c>
      <c r="AR200" s="9" t="n"/>
      <c r="AS200" s="9" t="n"/>
      <c r="AT200" s="50" t="inlineStr">
        <is>
          <t>UN WPP 2024</t>
        </is>
      </c>
    </row>
    <row r="201">
      <c r="A201" s="3" t="inlineStr">
        <is>
          <t>GNB</t>
        </is>
      </c>
      <c r="B201" s="4" t="inlineStr">
        <is>
          <t>Guinea-Bissau</t>
        </is>
      </c>
      <c r="C201" s="5" t="inlineStr">
        <is>
          <t>Sub-Saharan Africa</t>
        </is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33" t="n"/>
      <c r="AO201" s="33" t="n"/>
      <c r="AP201" s="8">
        <f>SUM(P201:AA201)</f>
        <v/>
      </c>
      <c r="AQ201" s="8">
        <f>SUM(AB201:AM201)</f>
        <v/>
      </c>
      <c r="AR201" s="9" t="n"/>
      <c r="AS201" s="9" t="n"/>
      <c r="AT201" s="50" t="inlineStr">
        <is>
          <t>UN WPP 2024</t>
        </is>
      </c>
    </row>
    <row r="202">
      <c r="A202" s="3" t="inlineStr">
        <is>
          <t>KEN</t>
        </is>
      </c>
      <c r="B202" s="4" t="inlineStr">
        <is>
          <t>Kenya</t>
        </is>
      </c>
      <c r="C202" s="5" t="inlineStr">
        <is>
          <t>Sub-Saharan Africa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33" t="n"/>
      <c r="AO202" s="33" t="n"/>
      <c r="AP202" s="8">
        <f>SUM(P202:AA202)</f>
        <v/>
      </c>
      <c r="AQ202" s="8">
        <f>SUM(AB202:AM202)</f>
        <v/>
      </c>
      <c r="AR202" s="9" t="n"/>
      <c r="AS202" s="9" t="n"/>
      <c r="AT202" s="50" t="inlineStr">
        <is>
          <t>UN WPP 2024</t>
        </is>
      </c>
    </row>
    <row r="203">
      <c r="A203" s="3" t="inlineStr">
        <is>
          <t>LSO</t>
        </is>
      </c>
      <c r="B203" s="4" t="inlineStr">
        <is>
          <t>Lesotho</t>
        </is>
      </c>
      <c r="C203" s="5" t="inlineStr">
        <is>
          <t>Sub-Saharan Africa</t>
        </is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33" t="n"/>
      <c r="AO203" s="33" t="n"/>
      <c r="AP203" s="8">
        <f>SUM(P203:AA203)</f>
        <v/>
      </c>
      <c r="AQ203" s="8">
        <f>SUM(AB203:AM203)</f>
        <v/>
      </c>
      <c r="AR203" s="9" t="n"/>
      <c r="AS203" s="9" t="n"/>
      <c r="AT203" s="50" t="inlineStr">
        <is>
          <t>UN WPP 2024</t>
        </is>
      </c>
    </row>
    <row r="204">
      <c r="A204" s="3" t="inlineStr">
        <is>
          <t>LBR</t>
        </is>
      </c>
      <c r="B204" s="4" t="inlineStr">
        <is>
          <t>Liberia</t>
        </is>
      </c>
      <c r="C204" s="5" t="inlineStr">
        <is>
          <t>Sub-Saharan Africa</t>
        </is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33" t="n"/>
      <c r="AO204" s="33" t="n"/>
      <c r="AP204" s="8">
        <f>SUM(P204:AA204)</f>
        <v/>
      </c>
      <c r="AQ204" s="8">
        <f>SUM(AB204:AM204)</f>
        <v/>
      </c>
      <c r="AR204" s="9" t="n"/>
      <c r="AS204" s="9" t="n"/>
      <c r="AT204" s="50" t="inlineStr">
        <is>
          <t>UN WPP 2024</t>
        </is>
      </c>
    </row>
    <row r="205">
      <c r="A205" s="3" t="inlineStr">
        <is>
          <t>MDG</t>
        </is>
      </c>
      <c r="B205" s="4" t="inlineStr">
        <is>
          <t>Madagascar</t>
        </is>
      </c>
      <c r="C205" s="5" t="inlineStr">
        <is>
          <t>Sub-Saharan Africa</t>
        </is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33" t="n"/>
      <c r="AO205" s="33" t="n"/>
      <c r="AP205" s="8">
        <f>SUM(P205:AA205)</f>
        <v/>
      </c>
      <c r="AQ205" s="8">
        <f>SUM(AB205:AM205)</f>
        <v/>
      </c>
      <c r="AR205" s="9" t="n"/>
      <c r="AS205" s="9" t="n"/>
      <c r="AT205" s="50" t="inlineStr">
        <is>
          <t>UN WPP 2024</t>
        </is>
      </c>
    </row>
    <row r="206">
      <c r="A206" s="3" t="inlineStr">
        <is>
          <t>MWI</t>
        </is>
      </c>
      <c r="B206" s="4" t="inlineStr">
        <is>
          <t>Malawi</t>
        </is>
      </c>
      <c r="C206" s="5" t="inlineStr">
        <is>
          <t>Sub-Saharan Africa</t>
        </is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33" t="n"/>
      <c r="AO206" s="33" t="n"/>
      <c r="AP206" s="8">
        <f>SUM(P206:AA206)</f>
        <v/>
      </c>
      <c r="AQ206" s="8">
        <f>SUM(AB206:AM206)</f>
        <v/>
      </c>
      <c r="AR206" s="9" t="n"/>
      <c r="AS206" s="9" t="n"/>
      <c r="AT206" s="50" t="inlineStr">
        <is>
          <t>UN WPP 2024</t>
        </is>
      </c>
    </row>
    <row r="207">
      <c r="A207" s="3" t="inlineStr">
        <is>
          <t>MLI</t>
        </is>
      </c>
      <c r="B207" s="4" t="inlineStr">
        <is>
          <t>Mali</t>
        </is>
      </c>
      <c r="C207" s="5" t="inlineStr">
        <is>
          <t>Sub-Saharan Africa</t>
        </is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33" t="n"/>
      <c r="AO207" s="33" t="n"/>
      <c r="AP207" s="8">
        <f>SUM(P207:AA207)</f>
        <v/>
      </c>
      <c r="AQ207" s="8">
        <f>SUM(AB207:AM207)</f>
        <v/>
      </c>
      <c r="AR207" s="9" t="n"/>
      <c r="AS207" s="9" t="n"/>
      <c r="AT207" s="50" t="inlineStr">
        <is>
          <t>UN WPP 2024</t>
        </is>
      </c>
    </row>
    <row r="208">
      <c r="A208" s="3" t="inlineStr">
        <is>
          <t>MRT</t>
        </is>
      </c>
      <c r="B208" s="4" t="inlineStr">
        <is>
          <t>Mauritania</t>
        </is>
      </c>
      <c r="C208" s="5" t="inlineStr">
        <is>
          <t>Sub-Saharan Africa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33" t="n"/>
      <c r="AO208" s="33" t="n"/>
      <c r="AP208" s="8">
        <f>SUM(P208:AA208)</f>
        <v/>
      </c>
      <c r="AQ208" s="8">
        <f>SUM(AB208:AM208)</f>
        <v/>
      </c>
      <c r="AR208" s="9" t="n"/>
      <c r="AS208" s="9" t="n"/>
      <c r="AT208" s="50" t="inlineStr">
        <is>
          <t>UN WPP 2024</t>
        </is>
      </c>
    </row>
    <row r="209">
      <c r="A209" s="3" t="inlineStr">
        <is>
          <t>MYT</t>
        </is>
      </c>
      <c r="B209" s="4" t="inlineStr">
        <is>
          <t>Mayotte</t>
        </is>
      </c>
      <c r="C209" s="5" t="inlineStr">
        <is>
          <t>Sub-Saharan Africa</t>
        </is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33" t="n"/>
      <c r="AO209" s="33" t="n"/>
      <c r="AP209" s="8">
        <f>SUM(P209:AA209)</f>
        <v/>
      </c>
      <c r="AQ209" s="8">
        <f>SUM(AB209:AM209)</f>
        <v/>
      </c>
      <c r="AR209" s="9" t="n"/>
      <c r="AS209" s="9" t="n"/>
      <c r="AT209" s="50" t="inlineStr">
        <is>
          <t>DRE</t>
        </is>
      </c>
    </row>
    <row r="210">
      <c r="A210" s="3" t="inlineStr">
        <is>
          <t>MOZ</t>
        </is>
      </c>
      <c r="B210" s="4" t="inlineStr">
        <is>
          <t>Mozambique</t>
        </is>
      </c>
      <c r="C210" s="5" t="inlineStr">
        <is>
          <t>Sub-Saharan Africa</t>
        </is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33" t="n"/>
      <c r="AO210" s="33" t="n"/>
      <c r="AP210" s="8">
        <f>SUM(P210:AA210)</f>
        <v/>
      </c>
      <c r="AQ210" s="8">
        <f>SUM(AB210:AM210)</f>
        <v/>
      </c>
      <c r="AR210" s="9" t="n"/>
      <c r="AS210" s="9" t="n"/>
      <c r="AT210" s="50" t="inlineStr">
        <is>
          <t>UN WPP 2024</t>
        </is>
      </c>
    </row>
    <row r="211">
      <c r="A211" s="3" t="inlineStr">
        <is>
          <t>NAM</t>
        </is>
      </c>
      <c r="B211" s="4" t="inlineStr">
        <is>
          <t>Namibia</t>
        </is>
      </c>
      <c r="C211" s="5" t="inlineStr">
        <is>
          <t>Sub-Saharan Africa</t>
        </is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33" t="n"/>
      <c r="AO211" s="33" t="n"/>
      <c r="AP211" s="8">
        <f>SUM(P211:AA211)</f>
        <v/>
      </c>
      <c r="AQ211" s="8">
        <f>SUM(AB211:AM211)</f>
        <v/>
      </c>
      <c r="AR211" s="9" t="n"/>
      <c r="AS211" s="9" t="n"/>
      <c r="AT211" s="50" t="inlineStr">
        <is>
          <t>UN WPP 2024</t>
        </is>
      </c>
    </row>
    <row r="212">
      <c r="A212" s="3" t="inlineStr">
        <is>
          <t>NER</t>
        </is>
      </c>
      <c r="B212" s="4" t="inlineStr">
        <is>
          <t>Niger</t>
        </is>
      </c>
      <c r="C212" s="5" t="inlineStr">
        <is>
          <t>Sub-Saharan Africa</t>
        </is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33" t="n"/>
      <c r="AO212" s="33" t="n"/>
      <c r="AP212" s="8">
        <f>SUM(P212:AA212)</f>
        <v/>
      </c>
      <c r="AQ212" s="8">
        <f>SUM(AB212:AM212)</f>
        <v/>
      </c>
      <c r="AR212" s="9" t="n"/>
      <c r="AS212" s="9" t="n"/>
      <c r="AT212" s="50" t="inlineStr">
        <is>
          <t>UN WPP 2024</t>
        </is>
      </c>
    </row>
    <row r="213">
      <c r="A213" s="3" t="inlineStr">
        <is>
          <t>NGA</t>
        </is>
      </c>
      <c r="B213" s="4" t="inlineStr">
        <is>
          <t>Nigeria</t>
        </is>
      </c>
      <c r="C213" s="5" t="inlineStr">
        <is>
          <t>Sub-Saharan Africa</t>
        </is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33" t="n"/>
      <c r="AO213" s="33" t="n"/>
      <c r="AP213" s="8">
        <f>SUM(P213:AA213)</f>
        <v/>
      </c>
      <c r="AQ213" s="8">
        <f>SUM(AB213:AM213)</f>
        <v/>
      </c>
      <c r="AR213" s="9" t="n"/>
      <c r="AS213" s="9" t="n"/>
      <c r="AT213" s="50" t="inlineStr">
        <is>
          <t>UN WPP 2024</t>
        </is>
      </c>
    </row>
    <row r="214">
      <c r="A214" s="3" t="inlineStr">
        <is>
          <t>RWA</t>
        </is>
      </c>
      <c r="B214" s="4" t="inlineStr">
        <is>
          <t>Rwanda</t>
        </is>
      </c>
      <c r="C214" s="5" t="inlineStr">
        <is>
          <t>Sub-Saharan Africa</t>
        </is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33" t="n"/>
      <c r="AO214" s="33" t="n"/>
      <c r="AP214" s="8">
        <f>SUM(P214:AA214)</f>
        <v/>
      </c>
      <c r="AQ214" s="8">
        <f>SUM(AB214:AM214)</f>
        <v/>
      </c>
      <c r="AR214" s="9" t="n"/>
      <c r="AS214" s="9" t="n"/>
      <c r="AT214" s="50" t="inlineStr">
        <is>
          <t>UN WPP 2024</t>
        </is>
      </c>
    </row>
    <row r="215">
      <c r="A215" s="3" t="inlineStr">
        <is>
          <t>REU</t>
        </is>
      </c>
      <c r="B215" s="4" t="inlineStr">
        <is>
          <t>Réunion</t>
        </is>
      </c>
      <c r="C215" s="5" t="inlineStr">
        <is>
          <t>Sub-Saharan Africa</t>
        </is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33" t="n"/>
      <c r="AO215" s="33" t="n"/>
      <c r="AP215" s="8">
        <f>SUM(P215:AA215)</f>
        <v/>
      </c>
      <c r="AQ215" s="8">
        <f>SUM(AB215:AM215)</f>
        <v/>
      </c>
      <c r="AR215" s="9" t="n"/>
      <c r="AS215" s="9" t="n"/>
      <c r="AT215" s="50" t="inlineStr">
        <is>
          <t>DRE</t>
        </is>
      </c>
    </row>
    <row r="216">
      <c r="A216" s="3" t="inlineStr">
        <is>
          <t>SHN</t>
        </is>
      </c>
      <c r="B216" s="4" t="inlineStr">
        <is>
          <t>Saint Helena</t>
        </is>
      </c>
      <c r="C216" s="5" t="inlineStr">
        <is>
          <t>Sub-Saharan Africa</t>
        </is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33" t="n"/>
      <c r="AO216" s="33" t="n"/>
      <c r="AP216" s="8">
        <f>SUM(P216:AA216)</f>
        <v/>
      </c>
      <c r="AQ216" s="8">
        <f>SUM(AB216:AM216)</f>
        <v/>
      </c>
      <c r="AR216" s="9" t="n"/>
      <c r="AS216" s="9" t="n"/>
      <c r="AT216" s="50" t="inlineStr">
        <is>
          <t>UN WPP 2024</t>
        </is>
      </c>
    </row>
    <row r="217">
      <c r="A217" s="3" t="inlineStr">
        <is>
          <t>STP</t>
        </is>
      </c>
      <c r="B217" s="4" t="inlineStr">
        <is>
          <t>Sao Tome and Principe</t>
        </is>
      </c>
      <c r="C217" s="5" t="inlineStr">
        <is>
          <t>Sub-Saharan Africa</t>
        </is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33" t="n"/>
      <c r="AO217" s="33" t="n"/>
      <c r="AP217" s="8">
        <f>SUM(P217:AA217)</f>
        <v/>
      </c>
      <c r="AQ217" s="8">
        <f>SUM(AB217:AM217)</f>
        <v/>
      </c>
      <c r="AR217" s="9" t="n"/>
      <c r="AS217" s="9" t="n"/>
      <c r="AT217" s="50" t="inlineStr">
        <is>
          <t>UN WPP 2024</t>
        </is>
      </c>
    </row>
    <row r="218">
      <c r="A218" s="3" t="inlineStr">
        <is>
          <t>SEN</t>
        </is>
      </c>
      <c r="B218" s="4" t="inlineStr">
        <is>
          <t>Senegal</t>
        </is>
      </c>
      <c r="C218" s="5" t="inlineStr">
        <is>
          <t>Sub-Saharan Africa</t>
        </is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33" t="n"/>
      <c r="AO218" s="33" t="n"/>
      <c r="AP218" s="8">
        <f>SUM(P218:AA218)</f>
        <v/>
      </c>
      <c r="AQ218" s="8">
        <f>SUM(AB218:AM218)</f>
        <v/>
      </c>
      <c r="AR218" s="9" t="n"/>
      <c r="AS218" s="9" t="n"/>
      <c r="AT218" s="50" t="inlineStr">
        <is>
          <t>UN WPP 2024</t>
        </is>
      </c>
    </row>
    <row r="219">
      <c r="A219" s="3" t="inlineStr">
        <is>
          <t>SYC</t>
        </is>
      </c>
      <c r="B219" s="4" t="inlineStr">
        <is>
          <t>Seychelles</t>
        </is>
      </c>
      <c r="C219" s="5" t="inlineStr">
        <is>
          <t>Sub-Saharan Africa</t>
        </is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33" t="n"/>
      <c r="AO219" s="33" t="n"/>
      <c r="AP219" s="8">
        <f>SUM(P219:AA219)</f>
        <v/>
      </c>
      <c r="AQ219" s="8">
        <f>SUM(AB219:AM219)</f>
        <v/>
      </c>
      <c r="AR219" s="9" t="n"/>
      <c r="AS219" s="9" t="n"/>
      <c r="AT219" s="50" t="inlineStr">
        <is>
          <t>DRE</t>
        </is>
      </c>
    </row>
    <row r="220">
      <c r="A220" s="3" t="inlineStr">
        <is>
          <t>SLE</t>
        </is>
      </c>
      <c r="B220" s="4" t="inlineStr">
        <is>
          <t>Sierra Leone</t>
        </is>
      </c>
      <c r="C220" s="5" t="inlineStr">
        <is>
          <t>Sub-Saharan Africa</t>
        </is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33" t="n"/>
      <c r="AO220" s="33" t="n"/>
      <c r="AP220" s="8">
        <f>SUM(P220:AA220)</f>
        <v/>
      </c>
      <c r="AQ220" s="8">
        <f>SUM(AB220:AM220)</f>
        <v/>
      </c>
      <c r="AR220" s="9" t="n"/>
      <c r="AS220" s="9" t="n"/>
      <c r="AT220" s="50" t="inlineStr">
        <is>
          <t>UN WPP 2024</t>
        </is>
      </c>
    </row>
    <row r="221">
      <c r="A221" s="3" t="inlineStr">
        <is>
          <t>SOM</t>
        </is>
      </c>
      <c r="B221" s="4" t="inlineStr">
        <is>
          <t>Somalia</t>
        </is>
      </c>
      <c r="C221" s="5" t="inlineStr">
        <is>
          <t>Sub-Saharan Africa</t>
        </is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33" t="n"/>
      <c r="AO221" s="33" t="n"/>
      <c r="AP221" s="8">
        <f>SUM(P221:AA221)</f>
        <v/>
      </c>
      <c r="AQ221" s="8">
        <f>SUM(AB221:AM221)</f>
        <v/>
      </c>
      <c r="AR221" s="9" t="n"/>
      <c r="AS221" s="9" t="n"/>
      <c r="AT221" s="50" t="inlineStr">
        <is>
          <t>UN WPP 2024</t>
        </is>
      </c>
    </row>
    <row r="222">
      <c r="A222" s="3" t="inlineStr">
        <is>
          <t>SSD</t>
        </is>
      </c>
      <c r="B222" s="4" t="inlineStr">
        <is>
          <t>South Sudan</t>
        </is>
      </c>
      <c r="C222" s="5" t="inlineStr">
        <is>
          <t>Sub-Saharan Africa</t>
        </is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33" t="n"/>
      <c r="AO222" s="33" t="n"/>
      <c r="AP222" s="8">
        <f>SUM(P222:AA222)</f>
        <v/>
      </c>
      <c r="AQ222" s="8">
        <f>SUM(AB222:AM222)</f>
        <v/>
      </c>
      <c r="AR222" s="9" t="n"/>
      <c r="AS222" s="9" t="n"/>
      <c r="AT222" s="50" t="inlineStr">
        <is>
          <t>UN WPP 2024</t>
        </is>
      </c>
    </row>
    <row r="223">
      <c r="A223" s="3" t="inlineStr">
        <is>
          <t>TGO</t>
        </is>
      </c>
      <c r="B223" s="4" t="inlineStr">
        <is>
          <t>Togo</t>
        </is>
      </c>
      <c r="C223" s="5" t="inlineStr">
        <is>
          <t>Sub-Saharan Africa</t>
        </is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33" t="n"/>
      <c r="AO223" s="33" t="n"/>
      <c r="AP223" s="8">
        <f>SUM(P223:AA223)</f>
        <v/>
      </c>
      <c r="AQ223" s="8">
        <f>SUM(AB223:AM223)</f>
        <v/>
      </c>
      <c r="AR223" s="9" t="n"/>
      <c r="AS223" s="9" t="n"/>
      <c r="AT223" s="50" t="inlineStr">
        <is>
          <t>UN WPP 2024</t>
        </is>
      </c>
    </row>
    <row r="224">
      <c r="A224" s="3" t="inlineStr">
        <is>
          <t>UGA</t>
        </is>
      </c>
      <c r="B224" s="4" t="inlineStr">
        <is>
          <t>Uganda</t>
        </is>
      </c>
      <c r="C224" s="5" t="inlineStr">
        <is>
          <t>Sub-Saharan Africa</t>
        </is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33" t="n"/>
      <c r="AO224" s="33" t="n"/>
      <c r="AP224" s="8">
        <f>SUM(P224:AA224)</f>
        <v/>
      </c>
      <c r="AQ224" s="8">
        <f>SUM(AB224:AM224)</f>
        <v/>
      </c>
      <c r="AR224" s="9" t="n"/>
      <c r="AS224" s="9" t="n"/>
      <c r="AT224" s="50" t="inlineStr">
        <is>
          <t>UN WPP 2024</t>
        </is>
      </c>
    </row>
    <row r="225">
      <c r="A225" s="3" t="inlineStr">
        <is>
          <t>TZA</t>
        </is>
      </c>
      <c r="B225" s="4" t="inlineStr">
        <is>
          <t>United Republic of Tanzania</t>
        </is>
      </c>
      <c r="C225" s="5" t="inlineStr">
        <is>
          <t>Sub-Saharan Africa</t>
        </is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33" t="n"/>
      <c r="AO225" s="33" t="n"/>
      <c r="AP225" s="8">
        <f>SUM(P225:AA225)</f>
        <v/>
      </c>
      <c r="AQ225" s="8">
        <f>SUM(AB225:AM225)</f>
        <v/>
      </c>
      <c r="AR225" s="9" t="n"/>
      <c r="AS225" s="9" t="n"/>
      <c r="AT225" s="50" t="inlineStr">
        <is>
          <t>UN WPP 2024</t>
        </is>
      </c>
    </row>
    <row r="226">
      <c r="A226" s="3" t="inlineStr">
        <is>
          <t>ZMB</t>
        </is>
      </c>
      <c r="B226" s="4" t="inlineStr">
        <is>
          <t>Zambia</t>
        </is>
      </c>
      <c r="C226" s="5" t="inlineStr">
        <is>
          <t>Sub-Saharan Africa</t>
        </is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33" t="n"/>
      <c r="AO226" s="33" t="n"/>
      <c r="AP226" s="8">
        <f>SUM(P226:AA226)</f>
        <v/>
      </c>
      <c r="AQ226" s="8">
        <f>SUM(AB226:AM226)</f>
        <v/>
      </c>
      <c r="AR226" s="9" t="n"/>
      <c r="AS226" s="9" t="n"/>
      <c r="AT226" s="50" t="inlineStr">
        <is>
          <t>UN WPP 2024</t>
        </is>
      </c>
    </row>
    <row r="227">
      <c r="A227" s="3" t="inlineStr">
        <is>
          <t>ZWE</t>
        </is>
      </c>
      <c r="B227" s="4" t="inlineStr">
        <is>
          <t>Zimbabwe</t>
        </is>
      </c>
      <c r="C227" s="5" t="inlineStr">
        <is>
          <t>Sub-Saharan Africa</t>
        </is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33" t="n"/>
      <c r="AO227" s="33" t="n"/>
      <c r="AP227" s="8">
        <f>SUM(P227:AA227)</f>
        <v/>
      </c>
      <c r="AQ227" s="8">
        <f>SUM(AB227:AM227)</f>
        <v/>
      </c>
      <c r="AR227" s="9" t="n"/>
      <c r="AS227" s="9" t="n"/>
      <c r="AT227" s="50" t="inlineStr">
        <is>
          <t>UN WPP 2024</t>
        </is>
      </c>
    </row>
    <row r="228">
      <c r="A228" s="40" t="inlineStr">
        <is>
          <t>OCEANIA</t>
        </is>
      </c>
      <c r="AN228" s="66" t="n"/>
      <c r="AP228" s="8">
        <f>SUM(P119:AA119)</f>
        <v/>
      </c>
      <c r="AQ228" s="8">
        <f>SUM(AB119:AM119)</f>
        <v/>
      </c>
    </row>
    <row r="229">
      <c r="A229" s="3" t="inlineStr">
        <is>
          <t>AUS</t>
        </is>
      </c>
      <c r="B229" s="4" t="inlineStr">
        <is>
          <t>Australia</t>
        </is>
      </c>
      <c r="C229" s="5" t="inlineStr">
        <is>
          <t>Oceania</t>
        </is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33" t="n"/>
      <c r="AO229" s="33" t="n">
        <v>292318</v>
      </c>
      <c r="AP229" s="8">
        <f>AO229*1.0226</f>
        <v/>
      </c>
      <c r="AQ229" s="8">
        <f>SUM(AB229:AM229)</f>
        <v/>
      </c>
      <c r="AR229" s="17" t="inlineStr">
        <is>
          <t>https://www.abs.gov.au/statistics/people/population/births-australia/2024</t>
        </is>
      </c>
      <c r="AS229" s="9" t="inlineStr">
        <is>
          <t>Annual - 10 month lag</t>
        </is>
      </c>
      <c r="AT229" s="50" t="inlineStr">
        <is>
          <t>DRE</t>
        </is>
      </c>
    </row>
    <row r="230">
      <c r="A230" s="3" t="inlineStr">
        <is>
          <t>NZL</t>
        </is>
      </c>
      <c r="B230" s="4" t="inlineStr">
        <is>
          <t>New Zealand</t>
        </is>
      </c>
      <c r="C230" s="5" t="inlineStr">
        <is>
          <t>Oceania</t>
        </is>
      </c>
      <c r="D230" s="5">
        <f>14460/3</f>
        <v/>
      </c>
      <c r="E230" s="5">
        <f>14460/3</f>
        <v/>
      </c>
      <c r="F230" s="5">
        <f>14460/3</f>
        <v/>
      </c>
      <c r="G230" s="5">
        <f>14410/3</f>
        <v/>
      </c>
      <c r="H230" s="5">
        <f>14410/3</f>
        <v/>
      </c>
      <c r="I230" s="5">
        <f>14410/3</f>
        <v/>
      </c>
      <c r="J230" s="5">
        <f>14970/3</f>
        <v/>
      </c>
      <c r="K230" s="5">
        <f>14970/3</f>
        <v/>
      </c>
      <c r="L230" s="5">
        <f>14970/3</f>
        <v/>
      </c>
      <c r="M230" s="5">
        <f>14501/3</f>
        <v/>
      </c>
      <c r="N230" s="5">
        <f>14501/3</f>
        <v/>
      </c>
      <c r="O230" s="5">
        <f>14501/3</f>
        <v/>
      </c>
      <c r="P230" s="6">
        <f>14658/3</f>
        <v/>
      </c>
      <c r="Q230" s="28" t="n">
        <v>4886</v>
      </c>
      <c r="R230" s="28" t="n">
        <v>4886</v>
      </c>
      <c r="S230" s="6">
        <f>14236/3</f>
        <v/>
      </c>
      <c r="T230" s="28" t="n">
        <v>4745</v>
      </c>
      <c r="U230" s="28" t="n">
        <v>4745</v>
      </c>
      <c r="V230" s="6">
        <f>13998/3</f>
        <v/>
      </c>
      <c r="W230" s="28" t="n">
        <v>4666</v>
      </c>
      <c r="X230" s="28" t="n">
        <v>4666</v>
      </c>
      <c r="Y230" s="6">
        <f>14813/3</f>
        <v/>
      </c>
      <c r="Z230" s="6">
        <f>14813/3</f>
        <v/>
      </c>
      <c r="AA230" s="6">
        <f>14813/3</f>
        <v/>
      </c>
      <c r="AB230" s="7">
        <f>13980/3</f>
        <v/>
      </c>
      <c r="AC230" s="7">
        <f>13980/3</f>
        <v/>
      </c>
      <c r="AD230" s="7">
        <f>13980/3</f>
        <v/>
      </c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33" t="n"/>
      <c r="AO230" s="33" t="n">
        <v>58341</v>
      </c>
      <c r="AP230" s="8" t="n">
        <v>57705</v>
      </c>
      <c r="AQ230" s="8">
        <f>SUM(AB230:AM230)</f>
        <v/>
      </c>
      <c r="AR230" s="17" t="inlineStr">
        <is>
          <t>https://www.stats.govt.nz/information-releases/births-and-deaths-year-ended-march-2026/</t>
        </is>
      </c>
      <c r="AS230" s="9" t="inlineStr">
        <is>
          <t>Quarterly - 2 month lag</t>
        </is>
      </c>
      <c r="AT230" s="50" t="inlineStr">
        <is>
          <t>NSO</t>
        </is>
      </c>
    </row>
    <row r="231">
      <c r="A231" s="3" t="inlineStr">
        <is>
          <t>ASM</t>
        </is>
      </c>
      <c r="B231" s="4" t="inlineStr">
        <is>
          <t>American Samoa</t>
        </is>
      </c>
      <c r="C231" s="5" t="inlineStr">
        <is>
          <t>Oceania</t>
        </is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33" t="n"/>
      <c r="AO231" s="33" t="n"/>
      <c r="AP231" s="8">
        <f>SUM(P231:AA231)</f>
        <v/>
      </c>
      <c r="AQ231" s="8">
        <f>SUM(AB231:AM231)</f>
        <v/>
      </c>
      <c r="AR231" s="9" t="n"/>
      <c r="AS231" s="9" t="n"/>
      <c r="AT231" s="50" t="inlineStr">
        <is>
          <t>UN WPP 2024</t>
        </is>
      </c>
    </row>
    <row r="232">
      <c r="A232" s="3" t="inlineStr">
        <is>
          <t>COK</t>
        </is>
      </c>
      <c r="B232" s="4" t="inlineStr">
        <is>
          <t>Cook Islands</t>
        </is>
      </c>
      <c r="C232" s="5" t="inlineStr">
        <is>
          <t>Oceania</t>
        </is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33" t="n"/>
      <c r="AO232" s="33" t="n"/>
      <c r="AP232" s="8">
        <f>SUM(P232:AA232)</f>
        <v/>
      </c>
      <c r="AQ232" s="8">
        <f>SUM(AB232:AM232)</f>
        <v/>
      </c>
      <c r="AR232" s="9" t="n"/>
      <c r="AS232" s="9" t="n"/>
      <c r="AT232" s="50" t="inlineStr">
        <is>
          <t>UN WPP 2024</t>
        </is>
      </c>
    </row>
    <row r="233">
      <c r="A233" s="3" t="inlineStr">
        <is>
          <t>FJI</t>
        </is>
      </c>
      <c r="B233" s="4" t="inlineStr">
        <is>
          <t>Fiji</t>
        </is>
      </c>
      <c r="C233" s="5" t="inlineStr">
        <is>
          <t>Oceania</t>
        </is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33" t="n"/>
      <c r="AO233" s="33" t="n"/>
      <c r="AP233" s="8">
        <f>SUM(P233:AA233)</f>
        <v/>
      </c>
      <c r="AQ233" s="8">
        <f>SUM(AB233:AM233)</f>
        <v/>
      </c>
      <c r="AR233" s="9" t="n"/>
      <c r="AS233" s="9" t="n"/>
      <c r="AT233" s="50" t="inlineStr">
        <is>
          <t>UN WPP 2024</t>
        </is>
      </c>
    </row>
    <row r="234">
      <c r="A234" s="3" t="inlineStr">
        <is>
          <t>PYF</t>
        </is>
      </c>
      <c r="B234" s="4" t="inlineStr">
        <is>
          <t>French Polynesia</t>
        </is>
      </c>
      <c r="C234" s="5" t="inlineStr">
        <is>
          <t>Oceania</t>
        </is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33" t="n"/>
      <c r="AO234" s="33" t="n"/>
      <c r="AP234" s="8">
        <f>SUM(P234:AA234)</f>
        <v/>
      </c>
      <c r="AQ234" s="8">
        <f>SUM(AB234:AM234)</f>
        <v/>
      </c>
      <c r="AR234" s="9" t="n"/>
      <c r="AS234" s="9" t="n"/>
      <c r="AT234" s="50" t="inlineStr">
        <is>
          <t>DRE</t>
        </is>
      </c>
    </row>
    <row r="235">
      <c r="A235" s="3" t="inlineStr">
        <is>
          <t>GUM</t>
        </is>
      </c>
      <c r="B235" s="4" t="inlineStr">
        <is>
          <t>Guam</t>
        </is>
      </c>
      <c r="C235" s="5" t="inlineStr">
        <is>
          <t>Oceania</t>
        </is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33" t="n"/>
      <c r="AO235" s="33" t="n"/>
      <c r="AP235" s="8">
        <f>SUM(P235:AA235)</f>
        <v/>
      </c>
      <c r="AQ235" s="8">
        <f>SUM(AB235:AM235)</f>
        <v/>
      </c>
      <c r="AR235" s="9" t="n"/>
      <c r="AS235" s="9" t="n"/>
      <c r="AT235" s="50" t="inlineStr">
        <is>
          <t>DRE</t>
        </is>
      </c>
    </row>
    <row r="236">
      <c r="A236" s="3" t="inlineStr">
        <is>
          <t>KIR</t>
        </is>
      </c>
      <c r="B236" s="4" t="inlineStr">
        <is>
          <t>Kiribati</t>
        </is>
      </c>
      <c r="C236" s="5" t="inlineStr">
        <is>
          <t>Oceania</t>
        </is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33" t="n"/>
      <c r="AO236" s="33" t="n"/>
      <c r="AP236" s="8">
        <f>SUM(P236:AA236)</f>
        <v/>
      </c>
      <c r="AQ236" s="8">
        <f>SUM(AB236:AM236)</f>
        <v/>
      </c>
      <c r="AR236" s="9" t="n"/>
      <c r="AS236" s="9" t="n"/>
      <c r="AT236" s="50" t="inlineStr">
        <is>
          <t>UN WPP 2024</t>
        </is>
      </c>
    </row>
    <row r="237">
      <c r="A237" s="3" t="inlineStr">
        <is>
          <t>MHL</t>
        </is>
      </c>
      <c r="B237" s="4" t="inlineStr">
        <is>
          <t>Marshall Islands</t>
        </is>
      </c>
      <c r="C237" s="5" t="inlineStr">
        <is>
          <t>Oceania</t>
        </is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33" t="n"/>
      <c r="AO237" s="33" t="n"/>
      <c r="AP237" s="8">
        <f>SUM(P237:AA237)</f>
        <v/>
      </c>
      <c r="AQ237" s="8">
        <f>SUM(AB237:AM237)</f>
        <v/>
      </c>
      <c r="AR237" s="9" t="n"/>
      <c r="AS237" s="9" t="n"/>
      <c r="AT237" s="50" t="inlineStr">
        <is>
          <t>UN WPP 2024</t>
        </is>
      </c>
    </row>
    <row r="238">
      <c r="A238" s="3" t="inlineStr">
        <is>
          <t>FSM</t>
        </is>
      </c>
      <c r="B238" s="4" t="inlineStr">
        <is>
          <t>Micronesia (Fed. States of)</t>
        </is>
      </c>
      <c r="C238" s="5" t="inlineStr">
        <is>
          <t>Oceania</t>
        </is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33" t="n"/>
      <c r="AO238" s="33" t="n"/>
      <c r="AP238" s="8">
        <f>SUM(P238:AA238)</f>
        <v/>
      </c>
      <c r="AQ238" s="8">
        <f>SUM(AB238:AM238)</f>
        <v/>
      </c>
      <c r="AR238" s="9" t="n"/>
      <c r="AS238" s="9" t="n"/>
      <c r="AT238" s="50" t="inlineStr">
        <is>
          <t>UN WPP 2024</t>
        </is>
      </c>
    </row>
    <row r="239">
      <c r="A239" s="3" t="inlineStr">
        <is>
          <t>NRU</t>
        </is>
      </c>
      <c r="B239" s="4" t="inlineStr">
        <is>
          <t>Nauru</t>
        </is>
      </c>
      <c r="C239" s="5" t="inlineStr">
        <is>
          <t>Oceania</t>
        </is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33" t="n"/>
      <c r="AO239" s="33" t="n"/>
      <c r="AP239" s="8">
        <f>SUM(P239:AA239)</f>
        <v/>
      </c>
      <c r="AQ239" s="8">
        <f>SUM(AB239:AM239)</f>
        <v/>
      </c>
      <c r="AR239" s="9" t="n"/>
      <c r="AS239" s="9" t="n"/>
      <c r="AT239" s="50" t="inlineStr">
        <is>
          <t>UN WPP 2024</t>
        </is>
      </c>
    </row>
    <row r="240">
      <c r="A240" s="3" t="inlineStr">
        <is>
          <t>NCL</t>
        </is>
      </c>
      <c r="B240" s="4" t="inlineStr">
        <is>
          <t>New Caledonia</t>
        </is>
      </c>
      <c r="C240" s="5" t="inlineStr">
        <is>
          <t>Oceania</t>
        </is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33" t="n"/>
      <c r="AO240" s="33" t="n"/>
      <c r="AP240" s="8">
        <f>SUM(P240:AA240)</f>
        <v/>
      </c>
      <c r="AQ240" s="8">
        <f>SUM(AB240:AM240)</f>
        <v/>
      </c>
      <c r="AR240" s="9" t="n"/>
      <c r="AS240" s="9" t="n"/>
      <c r="AT240" s="50" t="inlineStr">
        <is>
          <t>UN WPP 2024</t>
        </is>
      </c>
    </row>
    <row r="241">
      <c r="A241" s="3" t="inlineStr">
        <is>
          <t>NIU</t>
        </is>
      </c>
      <c r="B241" s="4" t="inlineStr">
        <is>
          <t>Niue</t>
        </is>
      </c>
      <c r="C241" s="5" t="inlineStr">
        <is>
          <t>Oceania</t>
        </is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33" t="n"/>
      <c r="AO241" s="33" t="n"/>
      <c r="AP241" s="8">
        <f>SUM(P241:AA241)</f>
        <v/>
      </c>
      <c r="AQ241" s="8">
        <f>SUM(AB241:AM241)</f>
        <v/>
      </c>
      <c r="AR241" s="9" t="n"/>
      <c r="AS241" s="9" t="n"/>
      <c r="AT241" s="50" t="inlineStr">
        <is>
          <t>UN WPP 2024</t>
        </is>
      </c>
    </row>
    <row r="242">
      <c r="A242" s="3" t="inlineStr">
        <is>
          <t>MNP</t>
        </is>
      </c>
      <c r="B242" s="4" t="inlineStr">
        <is>
          <t>Northern Mariana Islands</t>
        </is>
      </c>
      <c r="C242" s="5" t="inlineStr">
        <is>
          <t>Oceania</t>
        </is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33" t="n"/>
      <c r="AO242" s="33" t="n"/>
      <c r="AP242" s="8">
        <f>SUM(P242:AA242)</f>
        <v/>
      </c>
      <c r="AQ242" s="8">
        <f>SUM(AB242:AM242)</f>
        <v/>
      </c>
      <c r="AR242" s="9" t="n"/>
      <c r="AS242" s="9" t="n"/>
      <c r="AT242" s="50" t="inlineStr">
        <is>
          <t>DRE</t>
        </is>
      </c>
    </row>
    <row r="243">
      <c r="A243" s="3" t="inlineStr">
        <is>
          <t>PLW</t>
        </is>
      </c>
      <c r="B243" s="4" t="inlineStr">
        <is>
          <t>Palau</t>
        </is>
      </c>
      <c r="C243" s="5" t="inlineStr">
        <is>
          <t>Oceania</t>
        </is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33" t="n"/>
      <c r="AO243" s="33" t="n"/>
      <c r="AP243" s="8">
        <f>SUM(P243:AA243)</f>
        <v/>
      </c>
      <c r="AQ243" s="8">
        <f>SUM(AB243:AM243)</f>
        <v/>
      </c>
      <c r="AR243" s="9" t="n"/>
      <c r="AS243" s="9" t="n"/>
      <c r="AT243" s="50" t="inlineStr">
        <is>
          <t>UN WPP 2024</t>
        </is>
      </c>
    </row>
    <row r="244">
      <c r="A244" s="3" t="inlineStr">
        <is>
          <t>PNG</t>
        </is>
      </c>
      <c r="B244" s="4" t="inlineStr">
        <is>
          <t>Papua New Guinea</t>
        </is>
      </c>
      <c r="C244" s="5" t="inlineStr">
        <is>
          <t>Oceania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33" t="n"/>
      <c r="AO244" s="33" t="n"/>
      <c r="AP244" s="8">
        <f>SUM(P244:AA244)</f>
        <v/>
      </c>
      <c r="AQ244" s="8">
        <f>SUM(AB244:AM244)</f>
        <v/>
      </c>
      <c r="AR244" s="9" t="n"/>
      <c r="AS244" s="9" t="n"/>
      <c r="AT244" s="50" t="inlineStr">
        <is>
          <t>UN WPP 2024</t>
        </is>
      </c>
    </row>
    <row r="245">
      <c r="A245" s="3" t="inlineStr">
        <is>
          <t>WSM</t>
        </is>
      </c>
      <c r="B245" s="4" t="inlineStr">
        <is>
          <t>Samoa</t>
        </is>
      </c>
      <c r="C245" s="5" t="inlineStr">
        <is>
          <t>Oceania</t>
        </is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33" t="n"/>
      <c r="AO245" s="33" t="n"/>
      <c r="AP245" s="8">
        <f>SUM(P245:AA245)</f>
        <v/>
      </c>
      <c r="AQ245" s="8">
        <f>SUM(AB245:AM245)</f>
        <v/>
      </c>
      <c r="AR245" s="9" t="n"/>
      <c r="AS245" s="9" t="n"/>
      <c r="AT245" s="50" t="inlineStr">
        <is>
          <t>UN WPP 2024</t>
        </is>
      </c>
    </row>
    <row r="246">
      <c r="A246" s="3" t="inlineStr">
        <is>
          <t>SLB</t>
        </is>
      </c>
      <c r="B246" s="4" t="inlineStr">
        <is>
          <t>Solomon Islands</t>
        </is>
      </c>
      <c r="C246" s="5" t="inlineStr">
        <is>
          <t>Oceania</t>
        </is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33" t="n"/>
      <c r="AO246" s="33" t="n"/>
      <c r="AP246" s="8">
        <f>SUM(P246:AA246)</f>
        <v/>
      </c>
      <c r="AQ246" s="8">
        <f>SUM(AB246:AM246)</f>
        <v/>
      </c>
      <c r="AR246" s="9" t="n"/>
      <c r="AS246" s="9" t="n"/>
      <c r="AT246" s="50" t="inlineStr">
        <is>
          <t>DRE</t>
        </is>
      </c>
    </row>
    <row r="247">
      <c r="A247" s="3" t="inlineStr">
        <is>
          <t>TKL</t>
        </is>
      </c>
      <c r="B247" s="4" t="inlineStr">
        <is>
          <t>Tokelau</t>
        </is>
      </c>
      <c r="C247" s="5" t="inlineStr">
        <is>
          <t>Oceania</t>
        </is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33" t="n"/>
      <c r="AO247" s="33" t="n"/>
      <c r="AP247" s="8">
        <f>SUM(P247:AA247)</f>
        <v/>
      </c>
      <c r="AQ247" s="8">
        <f>SUM(AB247:AM247)</f>
        <v/>
      </c>
      <c r="AR247" s="9" t="n"/>
      <c r="AS247" s="9" t="n"/>
      <c r="AT247" s="50" t="inlineStr">
        <is>
          <t>UN WPP 2024</t>
        </is>
      </c>
    </row>
    <row r="248">
      <c r="A248" s="3" t="inlineStr">
        <is>
          <t>TON</t>
        </is>
      </c>
      <c r="B248" s="4" t="inlineStr">
        <is>
          <t>Tonga</t>
        </is>
      </c>
      <c r="C248" s="5" t="inlineStr">
        <is>
          <t>Oceania</t>
        </is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33" t="n"/>
      <c r="AO248" s="33" t="n"/>
      <c r="AP248" s="8">
        <f>SUM(P248:AA248)</f>
        <v/>
      </c>
      <c r="AQ248" s="8">
        <f>SUM(AB248:AM248)</f>
        <v/>
      </c>
      <c r="AR248" s="9" t="n"/>
      <c r="AS248" s="9" t="n"/>
      <c r="AT248" s="50" t="inlineStr">
        <is>
          <t>UN WPP 2024</t>
        </is>
      </c>
    </row>
    <row r="249">
      <c r="A249" s="3" t="inlineStr">
        <is>
          <t>TUV</t>
        </is>
      </c>
      <c r="B249" s="4" t="inlineStr">
        <is>
          <t>Tuvalu</t>
        </is>
      </c>
      <c r="C249" s="5" t="inlineStr">
        <is>
          <t>Oceania</t>
        </is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33" t="n"/>
      <c r="AO249" s="33" t="n"/>
      <c r="AP249" s="8">
        <f>SUM(P249:AA249)</f>
        <v/>
      </c>
      <c r="AQ249" s="8">
        <f>SUM(AB249:AM249)</f>
        <v/>
      </c>
      <c r="AR249" s="9" t="n"/>
      <c r="AS249" s="9" t="n"/>
      <c r="AT249" s="50" t="inlineStr">
        <is>
          <t>UN WPP 2024</t>
        </is>
      </c>
    </row>
    <row r="250">
      <c r="A250" s="3" t="inlineStr">
        <is>
          <t>VUT</t>
        </is>
      </c>
      <c r="B250" s="4" t="inlineStr">
        <is>
          <t>Vanuatu</t>
        </is>
      </c>
      <c r="C250" s="5" t="inlineStr">
        <is>
          <t>Oceania</t>
        </is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33" t="n"/>
      <c r="AO250" s="33" t="n"/>
      <c r="AP250" s="8">
        <f>SUM(P250:AA250)</f>
        <v/>
      </c>
      <c r="AQ250" s="8">
        <f>SUM(AB250:AM250)</f>
        <v/>
      </c>
      <c r="AR250" s="9" t="n"/>
      <c r="AS250" s="9" t="n"/>
      <c r="AT250" s="50" t="inlineStr">
        <is>
          <t>UN WPP 2024</t>
        </is>
      </c>
    </row>
    <row r="251">
      <c r="A251" s="3" t="inlineStr">
        <is>
          <t>WLF</t>
        </is>
      </c>
      <c r="B251" s="4" t="inlineStr">
        <is>
          <t>Wallis and Futuna Islands</t>
        </is>
      </c>
      <c r="C251" s="5" t="inlineStr">
        <is>
          <t>Oceania</t>
        </is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33" t="n"/>
      <c r="AO251" s="33" t="n"/>
      <c r="AP251" s="8">
        <f>SUM(P251:AA251)</f>
        <v/>
      </c>
      <c r="AQ251" s="8">
        <f>SUM(AB251:AM251)</f>
        <v/>
      </c>
      <c r="AR251" s="9" t="n"/>
      <c r="AS251" s="9" t="n"/>
      <c r="AT251" s="50" t="inlineStr">
        <is>
          <t>UN WPP 2024</t>
        </is>
      </c>
    </row>
  </sheetData>
  <mergeCells count="6">
    <mergeCell ref="AB1:AM1"/>
    <mergeCell ref="D1:O1"/>
    <mergeCell ref="A1:C1"/>
    <mergeCell ref="P1:AA1"/>
    <mergeCell ref="AR1:AS1"/>
    <mergeCell ref="AN1:AQ1"/>
  </mergeCells>
  <dataValidations count="1">
    <dataValidation sqref="AT3:AT251" showDropDown="0" showInputMessage="0" showErrorMessage="0" allowBlank="0" type="list">
      <formula1>"NSO,DRE,UN WPP 2024"</formula1>
    </dataValidation>
  </dataValidations>
  <hyperlinks>
    <hyperlink xmlns:r="http://schemas.openxmlformats.org/officeDocument/2006/relationships" ref="AR18" r:id="rId1"/>
    <hyperlink xmlns:r="http://schemas.openxmlformats.org/officeDocument/2006/relationships" ref="AR37" r:id="rId2"/>
    <hyperlink xmlns:r="http://schemas.openxmlformats.org/officeDocument/2006/relationships" ref="AR40" r:id="rId3"/>
    <hyperlink xmlns:r="http://schemas.openxmlformats.org/officeDocument/2006/relationships" ref="AR41" r:id="rId4"/>
    <hyperlink xmlns:r="http://schemas.openxmlformats.org/officeDocument/2006/relationships" ref="AR42" r:id="rId5"/>
    <hyperlink xmlns:r="http://schemas.openxmlformats.org/officeDocument/2006/relationships" ref="AR43" r:id="rId6"/>
    <hyperlink xmlns:r="http://schemas.openxmlformats.org/officeDocument/2006/relationships" ref="AR46" r:id="rId7"/>
    <hyperlink xmlns:r="http://schemas.openxmlformats.org/officeDocument/2006/relationships" ref="AR47" r:id="rId8"/>
    <hyperlink xmlns:r="http://schemas.openxmlformats.org/officeDocument/2006/relationships" ref="AR48" r:id="rId9"/>
    <hyperlink xmlns:r="http://schemas.openxmlformats.org/officeDocument/2006/relationships" ref="AR49" r:id="rId10"/>
    <hyperlink xmlns:r="http://schemas.openxmlformats.org/officeDocument/2006/relationships" ref="AR50" r:id="rId11"/>
    <hyperlink xmlns:r="http://schemas.openxmlformats.org/officeDocument/2006/relationships" ref="AR52" r:id="rId12"/>
    <hyperlink xmlns:r="http://schemas.openxmlformats.org/officeDocument/2006/relationships" ref="AR54" r:id="rId13"/>
    <hyperlink xmlns:r="http://schemas.openxmlformats.org/officeDocument/2006/relationships" ref="AR55" r:id="rId14"/>
    <hyperlink xmlns:r="http://schemas.openxmlformats.org/officeDocument/2006/relationships" ref="AR58" r:id="rId15"/>
    <hyperlink xmlns:r="http://schemas.openxmlformats.org/officeDocument/2006/relationships" ref="AR66" r:id="rId16"/>
    <hyperlink xmlns:r="http://schemas.openxmlformats.org/officeDocument/2006/relationships" ref="AR67" display="https://www.google.com/url?sa=t&amp;source=web&amp;rct=j&amp;opi=89978449&amp;url=https://imsee.mc/en/content/download/304889/file/2025%2520Demography%2520Observatory.pdf%3FinLanguage%3Deng-GB%26version%3D3&amp;ved=2ahUKEwjwjYfH2vuUAxWTh68BHXYFBTkQFnoECBoQAQ&amp;usg=AOvVaw2zfoy-gd8M8GSDsHDc3ZML" r:id="rId17"/>
    <hyperlink xmlns:r="http://schemas.openxmlformats.org/officeDocument/2006/relationships" ref="AR70" location="tab2" r:id="rId18"/>
    <hyperlink xmlns:r="http://schemas.openxmlformats.org/officeDocument/2006/relationships" ref="AR71" r:id="rId19"/>
    <hyperlink xmlns:r="http://schemas.openxmlformats.org/officeDocument/2006/relationships" ref="AR72" r:id="rId20"/>
    <hyperlink xmlns:r="http://schemas.openxmlformats.org/officeDocument/2006/relationships" ref="AR73" r:id="rId21"/>
    <hyperlink xmlns:r="http://schemas.openxmlformats.org/officeDocument/2006/relationships" ref="AR74" r:id="rId22"/>
    <hyperlink xmlns:r="http://schemas.openxmlformats.org/officeDocument/2006/relationships" ref="AR75" r:id="rId23"/>
    <hyperlink xmlns:r="http://schemas.openxmlformats.org/officeDocument/2006/relationships" ref="AR76" r:id="rId24"/>
    <hyperlink xmlns:r="http://schemas.openxmlformats.org/officeDocument/2006/relationships" ref="AR77" r:id="rId25"/>
    <hyperlink xmlns:r="http://schemas.openxmlformats.org/officeDocument/2006/relationships" ref="AR78" r:id="rId26"/>
    <hyperlink xmlns:r="http://schemas.openxmlformats.org/officeDocument/2006/relationships" ref="AR79" r:id="rId27"/>
    <hyperlink xmlns:r="http://schemas.openxmlformats.org/officeDocument/2006/relationships" ref="AR80" location="/" r:id="rId28"/>
    <hyperlink xmlns:r="http://schemas.openxmlformats.org/officeDocument/2006/relationships" ref="AR82" r:id="rId29"/>
    <hyperlink xmlns:r="http://schemas.openxmlformats.org/officeDocument/2006/relationships" ref="AR83" r:id="rId30"/>
    <hyperlink xmlns:r="http://schemas.openxmlformats.org/officeDocument/2006/relationships" ref="AR84" r:id="rId31"/>
    <hyperlink xmlns:r="http://schemas.openxmlformats.org/officeDocument/2006/relationships" ref="AR85" r:id="rId32"/>
    <hyperlink xmlns:r="http://schemas.openxmlformats.org/officeDocument/2006/relationships" ref="AR86" r:id="rId33"/>
    <hyperlink xmlns:r="http://schemas.openxmlformats.org/officeDocument/2006/relationships" ref="AR87" r:id="rId34"/>
    <hyperlink xmlns:r="http://schemas.openxmlformats.org/officeDocument/2006/relationships" ref="AR88" location="!/view/en/vbd_dem/om7017rr/v_om7017rr_00_00_00_en" r:id="rId35"/>
    <hyperlink xmlns:r="http://schemas.openxmlformats.org/officeDocument/2006/relationships" ref="AR89" r:id="rId36"/>
    <hyperlink xmlns:r="http://schemas.openxmlformats.org/officeDocument/2006/relationships" ref="AR90" r:id="rId37"/>
    <hyperlink xmlns:r="http://schemas.openxmlformats.org/officeDocument/2006/relationships" ref="AR92" r:id="rId38"/>
    <hyperlink xmlns:r="http://schemas.openxmlformats.org/officeDocument/2006/relationships" ref="AR93" r:id="rId39"/>
    <hyperlink xmlns:r="http://schemas.openxmlformats.org/officeDocument/2006/relationships" ref="AR94" r:id="rId40"/>
    <hyperlink xmlns:r="http://schemas.openxmlformats.org/officeDocument/2006/relationships" ref="AR95" r:id="rId41"/>
    <hyperlink xmlns:r="http://schemas.openxmlformats.org/officeDocument/2006/relationships" ref="AR98" r:id="rId42"/>
    <hyperlink xmlns:r="http://schemas.openxmlformats.org/officeDocument/2006/relationships" ref="AR102" r:id="rId43"/>
    <hyperlink xmlns:r="http://schemas.openxmlformats.org/officeDocument/2006/relationships" ref="AR103" r:id="rId44"/>
    <hyperlink xmlns:r="http://schemas.openxmlformats.org/officeDocument/2006/relationships" ref="AR118" r:id="rId45"/>
    <hyperlink xmlns:r="http://schemas.openxmlformats.org/officeDocument/2006/relationships" ref="AR149" r:id="rId46"/>
    <hyperlink xmlns:r="http://schemas.openxmlformats.org/officeDocument/2006/relationships" ref="AR150" location="birth_death_natural_increase" r:id="rId47"/>
    <hyperlink xmlns:r="http://schemas.openxmlformats.org/officeDocument/2006/relationships" ref="AR151" r:id="rId48"/>
    <hyperlink xmlns:r="http://schemas.openxmlformats.org/officeDocument/2006/relationships" ref="AR152" r:id="rId49"/>
    <hyperlink xmlns:r="http://schemas.openxmlformats.org/officeDocument/2006/relationships" ref="AR229" r:id="rId50"/>
    <hyperlink xmlns:r="http://schemas.openxmlformats.org/officeDocument/2006/relationships" ref="AR230" r:id="rId51"/>
  </hyperlink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F38"/>
  <sheetViews>
    <sheetView topLeftCell="AA1" workbookViewId="0">
      <selection activeCell="AF27" sqref="AF27"/>
    </sheetView>
  </sheetViews>
  <sheetFormatPr baseColWidth="10" defaultRowHeight="15"/>
  <cols>
    <col width="14.1640625" customWidth="1" style="59" min="2" max="2"/>
    <col width="10.83203125" customWidth="1" style="52" min="3" max="3"/>
    <col width="14" customWidth="1" style="59" min="4" max="4"/>
    <col width="12.1640625" bestFit="1" customWidth="1" style="54" min="8" max="8"/>
    <col width="11.6640625" bestFit="1" customWidth="1" style="59" min="20" max="20"/>
    <col width="17.5" customWidth="1" style="59" min="29" max="29"/>
    <col width="13" bestFit="1" customWidth="1" style="56" min="30" max="30"/>
  </cols>
  <sheetData>
    <row r="2">
      <c r="B2" t="inlineStr">
        <is>
          <t>Victoria (Aus)</t>
        </is>
      </c>
      <c r="C2" s="52" t="inlineStr">
        <is>
          <t>y-o-y % change</t>
        </is>
      </c>
      <c r="D2" s="53" t="inlineStr">
        <is>
          <t>Annual Births</t>
        </is>
      </c>
      <c r="G2" t="inlineStr">
        <is>
          <t>Births to May</t>
        </is>
      </c>
      <c r="H2" s="54" t="inlineStr">
        <is>
          <t>y-o-y % change</t>
        </is>
      </c>
      <c r="K2" t="inlineStr">
        <is>
          <t>Victoria (Syd)</t>
        </is>
      </c>
      <c r="L2" s="52" t="inlineStr">
        <is>
          <t>y-o-y % change</t>
        </is>
      </c>
      <c r="M2" s="53" t="inlineStr">
        <is>
          <t>Annual Births</t>
        </is>
      </c>
      <c r="P2" t="inlineStr">
        <is>
          <t>Births to May</t>
        </is>
      </c>
      <c r="Q2" s="54" t="inlineStr">
        <is>
          <t>y-o-y % change</t>
        </is>
      </c>
      <c r="T2" t="inlineStr">
        <is>
          <t>Victoria (QLD)</t>
        </is>
      </c>
      <c r="U2" s="52" t="inlineStr">
        <is>
          <t>y-o-y % change</t>
        </is>
      </c>
      <c r="V2" s="53" t="inlineStr">
        <is>
          <t>Annual Births</t>
        </is>
      </c>
      <c r="Y2" t="inlineStr">
        <is>
          <t>Births to May</t>
        </is>
      </c>
      <c r="Z2" s="54" t="inlineStr">
        <is>
          <t>y-o-y % change</t>
        </is>
      </c>
      <c r="AC2" t="inlineStr">
        <is>
          <t>NSW + QLD + VIC</t>
        </is>
      </c>
    </row>
    <row r="3">
      <c r="A3" s="51" t="n">
        <v>45292</v>
      </c>
      <c r="B3" t="n">
        <v>7501</v>
      </c>
      <c r="D3" s="64">
        <f>SUM(B3:B14)</f>
        <v/>
      </c>
      <c r="F3" t="n">
        <v>2024</v>
      </c>
      <c r="G3">
        <f>SUM(B3:B7)</f>
        <v/>
      </c>
      <c r="J3" s="51" t="n">
        <v>45292</v>
      </c>
      <c r="K3" t="n">
        <v>7351</v>
      </c>
      <c r="L3" s="52" t="n"/>
      <c r="M3" s="64">
        <f>SUM(K3:K14)</f>
        <v/>
      </c>
      <c r="O3" t="n">
        <v>2024</v>
      </c>
      <c r="P3">
        <f>SUM(K3:K7)</f>
        <v/>
      </c>
      <c r="Q3" s="54" t="n"/>
      <c r="S3" s="51" t="n">
        <v>45292</v>
      </c>
      <c r="T3" t="n">
        <v>4950</v>
      </c>
      <c r="U3" s="52" t="n"/>
      <c r="V3" s="64">
        <f>SUM(T3:T14)</f>
        <v/>
      </c>
      <c r="X3" t="n">
        <v>2024</v>
      </c>
      <c r="Y3">
        <f>SUM(T3:T7)</f>
        <v/>
      </c>
      <c r="Z3" s="54" t="n"/>
      <c r="AB3" s="51" t="n">
        <v>45292</v>
      </c>
      <c r="AC3">
        <f>K3+T3+B3</f>
        <v/>
      </c>
      <c r="AD3" s="56">
        <f>SUM(AC$3:AC3)</f>
        <v/>
      </c>
    </row>
    <row r="4">
      <c r="A4" s="51" t="n">
        <v>45323</v>
      </c>
      <c r="B4" t="n">
        <v>11079</v>
      </c>
      <c r="F4" t="n">
        <v>2025</v>
      </c>
      <c r="G4">
        <f>SUM(B15:B19)</f>
        <v/>
      </c>
      <c r="H4" s="55">
        <f>(G4/G3)-1</f>
        <v/>
      </c>
      <c r="J4" s="51" t="n">
        <v>45323</v>
      </c>
      <c r="K4" t="n">
        <v>6126</v>
      </c>
      <c r="L4" s="52" t="n"/>
      <c r="O4" t="n">
        <v>2025</v>
      </c>
      <c r="P4">
        <f>SUM(K15:K19)</f>
        <v/>
      </c>
      <c r="Q4" s="55">
        <f>(P4/P3)-1</f>
        <v/>
      </c>
      <c r="S4" s="51" t="n">
        <v>45323</v>
      </c>
      <c r="T4" t="n">
        <v>4702</v>
      </c>
      <c r="U4" s="52" t="n"/>
      <c r="X4" t="n">
        <v>2025</v>
      </c>
      <c r="Y4">
        <f>SUM(T15:T19)</f>
        <v/>
      </c>
      <c r="Z4" s="55">
        <f>(Y4/Y3)-1</f>
        <v/>
      </c>
      <c r="AB4" s="51" t="n">
        <v>45323</v>
      </c>
      <c r="AC4">
        <f>K4+T4+B4</f>
        <v/>
      </c>
      <c r="AD4" s="56">
        <f>SUM(AC$3:AC4)</f>
        <v/>
      </c>
    </row>
    <row r="5">
      <c r="A5" s="51" t="n">
        <v>45352</v>
      </c>
      <c r="B5" t="n">
        <v>4988</v>
      </c>
      <c r="F5" t="n">
        <v>2026</v>
      </c>
      <c r="G5">
        <f>SUM(B27:B31)</f>
        <v/>
      </c>
      <c r="H5" s="55">
        <f>(G5/G4)-1</f>
        <v/>
      </c>
      <c r="J5" s="51" t="n">
        <v>45352</v>
      </c>
      <c r="K5" t="n">
        <v>7392</v>
      </c>
      <c r="L5" s="52" t="n"/>
      <c r="O5" t="n">
        <v>2026</v>
      </c>
      <c r="P5">
        <f>SUM(K27:K31)</f>
        <v/>
      </c>
      <c r="Q5" s="55">
        <f>(P5/P4)-1</f>
        <v/>
      </c>
      <c r="S5" s="51" t="n">
        <v>45352</v>
      </c>
      <c r="T5" t="n">
        <v>5050</v>
      </c>
      <c r="U5" s="52" t="n"/>
      <c r="X5" t="n">
        <v>2026</v>
      </c>
      <c r="Y5">
        <f>SUM(T27:T31)</f>
        <v/>
      </c>
      <c r="Z5" s="55">
        <f>(Y5/Y4)-1</f>
        <v/>
      </c>
      <c r="AB5" s="51" t="n">
        <v>45352</v>
      </c>
      <c r="AC5">
        <f>K5+T5+B5</f>
        <v/>
      </c>
      <c r="AD5" s="56">
        <f>SUM(AC$3:AC5)</f>
        <v/>
      </c>
    </row>
    <row r="6">
      <c r="A6" s="51" t="n">
        <v>45383</v>
      </c>
      <c r="B6" t="n">
        <v>7047</v>
      </c>
      <c r="J6" s="51" t="n">
        <v>45383</v>
      </c>
      <c r="K6" t="n">
        <v>7967</v>
      </c>
      <c r="L6" s="52" t="n"/>
      <c r="S6" s="51" t="n">
        <v>45383</v>
      </c>
      <c r="T6" t="n">
        <v>4962</v>
      </c>
      <c r="U6" s="52" t="n"/>
      <c r="AB6" s="51" t="n">
        <v>45383</v>
      </c>
      <c r="AC6">
        <f>K6+T6+B6</f>
        <v/>
      </c>
      <c r="AD6" s="56">
        <f>SUM(AC$3:AC6)</f>
        <v/>
      </c>
    </row>
    <row r="7">
      <c r="A7" s="51" t="n">
        <v>45413</v>
      </c>
      <c r="B7" t="n">
        <v>7142</v>
      </c>
      <c r="J7" s="51" t="n">
        <v>45413</v>
      </c>
      <c r="K7" t="n">
        <v>7767</v>
      </c>
      <c r="L7" s="52" t="n"/>
      <c r="S7" s="51" t="n">
        <v>45413</v>
      </c>
      <c r="T7" t="n">
        <v>5246</v>
      </c>
      <c r="U7" s="52" t="n"/>
      <c r="AB7" s="51" t="n">
        <v>45413</v>
      </c>
      <c r="AC7">
        <f>K7+T7+B7</f>
        <v/>
      </c>
      <c r="AD7" s="56">
        <f>SUM(AC$3:AC7)</f>
        <v/>
      </c>
    </row>
    <row r="8">
      <c r="A8" s="51" t="n">
        <v>45444</v>
      </c>
      <c r="B8" t="n">
        <v>4550</v>
      </c>
      <c r="J8" s="51" t="n">
        <v>45444</v>
      </c>
      <c r="K8" t="n">
        <v>7335</v>
      </c>
      <c r="L8" s="52" t="n"/>
      <c r="S8" s="51" t="n">
        <v>45444</v>
      </c>
      <c r="T8" t="n">
        <v>4990</v>
      </c>
      <c r="U8" s="52" t="n"/>
      <c r="AB8" s="51" t="n">
        <v>45444</v>
      </c>
      <c r="AC8">
        <f>K8+T8+B8</f>
        <v/>
      </c>
      <c r="AD8" s="56">
        <f>SUM(AC$3:AC8)</f>
        <v/>
      </c>
    </row>
    <row r="9">
      <c r="A9" s="51" t="n">
        <v>45474</v>
      </c>
      <c r="B9" t="n">
        <v>7689</v>
      </c>
      <c r="J9" s="51" t="n">
        <v>45474</v>
      </c>
      <c r="K9" t="n">
        <v>8254</v>
      </c>
      <c r="L9" s="52" t="n"/>
      <c r="S9" s="51" t="n">
        <v>45474</v>
      </c>
      <c r="T9" t="n">
        <v>5065</v>
      </c>
      <c r="U9" s="52" t="n"/>
      <c r="AB9" s="51" t="n">
        <v>45474</v>
      </c>
      <c r="AC9">
        <f>K9+T9+B9</f>
        <v/>
      </c>
      <c r="AD9" s="56">
        <f>SUM(AC$3:AC9)</f>
        <v/>
      </c>
    </row>
    <row r="10">
      <c r="A10" s="51" t="n">
        <v>45505</v>
      </c>
      <c r="B10" t="n">
        <v>7994</v>
      </c>
      <c r="J10" s="51" t="n">
        <v>45505</v>
      </c>
      <c r="K10" t="n">
        <v>6901</v>
      </c>
      <c r="L10" s="52" t="n"/>
      <c r="S10" s="51" t="n">
        <v>45505</v>
      </c>
      <c r="T10" t="n">
        <v>4971</v>
      </c>
      <c r="U10" s="52" t="n"/>
      <c r="AB10" s="51" t="n">
        <v>45505</v>
      </c>
      <c r="AC10">
        <f>K10+T10+B10</f>
        <v/>
      </c>
      <c r="AD10" s="56">
        <f>SUM(AC$3:AC10)</f>
        <v/>
      </c>
    </row>
    <row r="11">
      <c r="A11" s="51" t="n">
        <v>45536</v>
      </c>
      <c r="B11" t="n">
        <v>6904</v>
      </c>
      <c r="J11" s="51" t="n">
        <v>45536</v>
      </c>
      <c r="K11" t="n">
        <v>7045</v>
      </c>
      <c r="L11" s="52" t="n"/>
      <c r="S11" s="51" t="n">
        <v>45536</v>
      </c>
      <c r="T11" t="n">
        <v>4709</v>
      </c>
      <c r="U11" s="52" t="n"/>
      <c r="AB11" s="51" t="n">
        <v>45536</v>
      </c>
      <c r="AC11">
        <f>K11+T11+B11</f>
        <v/>
      </c>
      <c r="AD11" s="56">
        <f>SUM(AC$3:AC11)</f>
        <v/>
      </c>
    </row>
    <row r="12">
      <c r="A12" s="51" t="n">
        <v>45566</v>
      </c>
      <c r="B12" t="n">
        <v>7044</v>
      </c>
      <c r="J12" s="51" t="n">
        <v>45566</v>
      </c>
      <c r="K12" t="n">
        <v>8114</v>
      </c>
      <c r="L12" s="52" t="n"/>
      <c r="S12" s="51" t="n">
        <v>45566</v>
      </c>
      <c r="T12" t="n">
        <v>5013</v>
      </c>
      <c r="U12" s="52" t="n"/>
      <c r="AB12" s="51" t="n">
        <v>45566</v>
      </c>
      <c r="AC12">
        <f>K12+T12+B12</f>
        <v/>
      </c>
      <c r="AD12" s="56">
        <f>SUM(AC$3:AC12)</f>
        <v/>
      </c>
    </row>
    <row r="13">
      <c r="A13" s="51" t="n">
        <v>45597</v>
      </c>
      <c r="B13" t="n">
        <v>5090</v>
      </c>
      <c r="J13" s="51" t="n">
        <v>45597</v>
      </c>
      <c r="K13" t="n">
        <v>7001</v>
      </c>
      <c r="L13" s="52" t="n"/>
      <c r="S13" s="51" t="n">
        <v>45597</v>
      </c>
      <c r="T13" t="n">
        <v>4795</v>
      </c>
      <c r="U13" s="52" t="n"/>
      <c r="AB13" s="51" t="n">
        <v>45597</v>
      </c>
      <c r="AC13">
        <f>K13+T13+B13</f>
        <v/>
      </c>
      <c r="AD13" s="56">
        <f>SUM(AC$3:AC13)</f>
        <v/>
      </c>
    </row>
    <row r="14">
      <c r="A14" s="51" t="n">
        <v>45627</v>
      </c>
      <c r="B14" t="n">
        <v>5745</v>
      </c>
      <c r="J14" s="51" t="n">
        <v>45627</v>
      </c>
      <c r="K14" t="n">
        <v>6329</v>
      </c>
      <c r="L14" s="52" t="n"/>
      <c r="S14" s="51" t="n">
        <v>45627</v>
      </c>
      <c r="T14" t="n">
        <v>4941</v>
      </c>
      <c r="U14" s="52" t="n"/>
      <c r="AB14" s="51" t="n">
        <v>45627</v>
      </c>
      <c r="AC14">
        <f>K14+T14+B14</f>
        <v/>
      </c>
      <c r="AD14" s="56">
        <f>SUM(AC$3:AC14)</f>
        <v/>
      </c>
    </row>
    <row r="15">
      <c r="A15" s="51" t="n">
        <v>45658</v>
      </c>
      <c r="B15" t="n">
        <v>6731</v>
      </c>
      <c r="C15" s="52">
        <f>(B15/B3)-1</f>
        <v/>
      </c>
      <c r="D15" s="64">
        <f>SUM(B15:B26)</f>
        <v/>
      </c>
      <c r="J15" s="51" t="n">
        <v>45658</v>
      </c>
      <c r="K15" t="n">
        <v>8200</v>
      </c>
      <c r="L15" s="52">
        <f>(K15/K3)-1</f>
        <v/>
      </c>
      <c r="M15" s="64">
        <f>SUM(K15:K26)</f>
        <v/>
      </c>
      <c r="S15" s="51" t="n">
        <v>45658</v>
      </c>
      <c r="T15" t="n">
        <v>4965</v>
      </c>
      <c r="U15" s="52" t="n"/>
      <c r="V15" s="64">
        <f>SUM(T15:T26)</f>
        <v/>
      </c>
      <c r="AB15" s="51" t="n">
        <v>45658</v>
      </c>
      <c r="AC15">
        <f>K15+T15+B15</f>
        <v/>
      </c>
      <c r="AD15" s="56">
        <f>SUM(AC$15:AC15)</f>
        <v/>
      </c>
      <c r="AE15" s="52">
        <f>(AD15/AD3)-1</f>
        <v/>
      </c>
    </row>
    <row r="16">
      <c r="A16" s="51" t="n">
        <v>45689</v>
      </c>
      <c r="B16" t="n">
        <v>6522</v>
      </c>
      <c r="C16" s="52">
        <f>(B16/B4)-1</f>
        <v/>
      </c>
      <c r="J16" s="51" t="n">
        <v>45689</v>
      </c>
      <c r="K16" t="n">
        <v>8332</v>
      </c>
      <c r="L16" s="52">
        <f>(K16/K4)-1</f>
        <v/>
      </c>
      <c r="S16" s="51" t="n">
        <v>45689</v>
      </c>
      <c r="T16" t="n">
        <v>4637</v>
      </c>
      <c r="U16" s="52" t="n"/>
      <c r="AB16" s="51" t="n">
        <v>45689</v>
      </c>
      <c r="AC16">
        <f>K16+T16+B16</f>
        <v/>
      </c>
      <c r="AD16" s="56">
        <f>SUM(AC$15:AC16)</f>
        <v/>
      </c>
      <c r="AE16" s="52">
        <f>(AD16/AD4)-1</f>
        <v/>
      </c>
    </row>
    <row r="17">
      <c r="A17" s="51" t="n">
        <v>45717</v>
      </c>
      <c r="B17" t="n">
        <v>8198</v>
      </c>
      <c r="C17" s="52">
        <f>(B17/B5)-1</f>
        <v/>
      </c>
      <c r="J17" s="51" t="n">
        <v>45717</v>
      </c>
      <c r="K17" t="n">
        <v>7552</v>
      </c>
      <c r="L17" s="52">
        <f>(K17/K5)-1</f>
        <v/>
      </c>
      <c r="S17" s="51" t="n">
        <v>45717</v>
      </c>
      <c r="T17" t="n">
        <v>5130</v>
      </c>
      <c r="U17" s="52" t="n"/>
      <c r="AB17" s="51" t="n">
        <v>45717</v>
      </c>
      <c r="AC17">
        <f>K17+T17+B17</f>
        <v/>
      </c>
      <c r="AD17" s="56">
        <f>SUM(AC$15:AC17)</f>
        <v/>
      </c>
      <c r="AE17" s="52">
        <f>(AD17/AD5)-1</f>
        <v/>
      </c>
    </row>
    <row r="18">
      <c r="A18" s="51" t="n">
        <v>45748</v>
      </c>
      <c r="B18" t="n">
        <v>7376</v>
      </c>
      <c r="C18" s="52">
        <f>(B18/B6)-1</f>
        <v/>
      </c>
      <c r="J18" s="51" t="n">
        <v>45748</v>
      </c>
      <c r="K18" t="n">
        <v>7535</v>
      </c>
      <c r="L18" s="52">
        <f>(K18/K6)-1</f>
        <v/>
      </c>
      <c r="S18" s="51" t="n">
        <v>45748</v>
      </c>
      <c r="T18" t="n">
        <v>4948</v>
      </c>
      <c r="U18" s="52" t="n"/>
      <c r="AB18" s="51" t="n">
        <v>45748</v>
      </c>
      <c r="AC18">
        <f>K18+T18+B18</f>
        <v/>
      </c>
      <c r="AD18" s="56">
        <f>SUM(AC$15:AC18)</f>
        <v/>
      </c>
      <c r="AE18" s="52">
        <f>(AD18/AD6)-1</f>
        <v/>
      </c>
    </row>
    <row r="19">
      <c r="A19" s="51" t="n">
        <v>45778</v>
      </c>
      <c r="B19" t="n">
        <v>7033</v>
      </c>
      <c r="C19" s="52">
        <f>(B19/B7)-1</f>
        <v/>
      </c>
      <c r="J19" s="51" t="n">
        <v>45778</v>
      </c>
      <c r="K19" t="n">
        <v>8768</v>
      </c>
      <c r="L19" s="52">
        <f>(K19/K7)-1</f>
        <v/>
      </c>
      <c r="S19" s="51" t="n">
        <v>45778</v>
      </c>
      <c r="T19" t="n">
        <v>5111</v>
      </c>
      <c r="U19" s="52" t="n"/>
      <c r="AB19" s="51" t="n">
        <v>45778</v>
      </c>
      <c r="AC19">
        <f>K19+T19+B19</f>
        <v/>
      </c>
      <c r="AD19" s="56">
        <f>SUM(AC$15:AC19)</f>
        <v/>
      </c>
      <c r="AE19" s="52">
        <f>(AD19/AD7)-1</f>
        <v/>
      </c>
    </row>
    <row r="20">
      <c r="A20" s="51" t="n">
        <v>45809</v>
      </c>
      <c r="B20" t="n">
        <v>7385</v>
      </c>
      <c r="C20" s="52">
        <f>(B20/B8)-1</f>
        <v/>
      </c>
      <c r="J20" s="51" t="n">
        <v>45809</v>
      </c>
      <c r="K20" t="n">
        <v>8266</v>
      </c>
      <c r="L20" s="52">
        <f>(K20/K8)-1</f>
        <v/>
      </c>
      <c r="S20" s="51" t="n">
        <v>45809</v>
      </c>
      <c r="T20" t="n">
        <v>4924</v>
      </c>
      <c r="U20" s="52" t="n"/>
      <c r="AB20" s="51" t="n">
        <v>45809</v>
      </c>
      <c r="AC20">
        <f>K20+T20+B20</f>
        <v/>
      </c>
      <c r="AD20" s="56">
        <f>SUM(AC$15:AC20)</f>
        <v/>
      </c>
      <c r="AE20" s="52">
        <f>(AD20/AD8)-1</f>
        <v/>
      </c>
    </row>
    <row r="21">
      <c r="A21" s="51" t="n">
        <v>45839</v>
      </c>
      <c r="B21" t="n">
        <v>6100</v>
      </c>
      <c r="C21" s="52">
        <f>(B21/B9)-1</f>
        <v/>
      </c>
      <c r="J21" s="51" t="n">
        <v>45839</v>
      </c>
      <c r="K21" t="n">
        <v>8649</v>
      </c>
      <c r="L21" s="52">
        <f>(K21/K9)-1</f>
        <v/>
      </c>
      <c r="S21" s="51" t="n">
        <v>45839</v>
      </c>
      <c r="T21" t="n">
        <v>5404</v>
      </c>
      <c r="U21" s="52" t="n"/>
      <c r="AB21" s="51" t="n">
        <v>45839</v>
      </c>
      <c r="AC21">
        <f>K21+T21+B21</f>
        <v/>
      </c>
      <c r="AD21" s="56">
        <f>SUM(AC$15:AC21)</f>
        <v/>
      </c>
      <c r="AE21" s="52">
        <f>(AD21/AD9)-1</f>
        <v/>
      </c>
    </row>
    <row r="22">
      <c r="A22" s="51" t="n">
        <v>45870</v>
      </c>
      <c r="B22" t="n">
        <v>5749</v>
      </c>
      <c r="C22" s="52">
        <f>(B22/B10)-1</f>
        <v/>
      </c>
      <c r="J22" s="51" t="n">
        <v>45870</v>
      </c>
      <c r="K22" t="n">
        <v>7671</v>
      </c>
      <c r="L22" s="52">
        <f>(K22/K10)-1</f>
        <v/>
      </c>
      <c r="S22" s="51" t="n">
        <v>45870</v>
      </c>
      <c r="T22" t="n">
        <v>5112</v>
      </c>
      <c r="U22" s="52" t="n"/>
      <c r="AB22" s="51" t="n">
        <v>45870</v>
      </c>
      <c r="AC22">
        <f>K22+T22+B22</f>
        <v/>
      </c>
      <c r="AD22" s="56">
        <f>SUM(AC$15:AC22)</f>
        <v/>
      </c>
      <c r="AE22" s="52">
        <f>(AD22/AD10)-1</f>
        <v/>
      </c>
    </row>
    <row r="23">
      <c r="A23" s="51" t="n">
        <v>45901</v>
      </c>
      <c r="B23" t="n">
        <v>7166</v>
      </c>
      <c r="C23" s="52">
        <f>(B23/B11)-1</f>
        <v/>
      </c>
      <c r="J23" s="51" t="n">
        <v>45901</v>
      </c>
      <c r="K23" t="n">
        <v>7943</v>
      </c>
      <c r="L23" s="52">
        <f>(K23/K11)-1</f>
        <v/>
      </c>
      <c r="S23" s="51" t="n">
        <v>45901</v>
      </c>
      <c r="T23" t="n">
        <v>4887</v>
      </c>
      <c r="U23" s="52" t="n"/>
      <c r="AB23" s="51" t="n">
        <v>45901</v>
      </c>
      <c r="AC23">
        <f>K23+T23+B23</f>
        <v/>
      </c>
      <c r="AD23" s="56">
        <f>SUM(AC$15:AC23)</f>
        <v/>
      </c>
      <c r="AE23" s="52">
        <f>(AD23/AD11)-1</f>
        <v/>
      </c>
    </row>
    <row r="24">
      <c r="A24" s="51" t="n">
        <v>45931</v>
      </c>
      <c r="B24" t="n">
        <v>7041</v>
      </c>
      <c r="C24" s="52">
        <f>(B24/B12)-1</f>
        <v/>
      </c>
      <c r="J24" s="51" t="n">
        <v>45931</v>
      </c>
      <c r="K24" t="n">
        <v>7558</v>
      </c>
      <c r="L24" s="52">
        <f>(K24/K12)-1</f>
        <v/>
      </c>
      <c r="S24" s="51" t="n">
        <v>45931</v>
      </c>
      <c r="T24" t="n">
        <v>5115</v>
      </c>
      <c r="U24" s="52" t="n"/>
      <c r="AB24" s="51" t="n">
        <v>45931</v>
      </c>
      <c r="AC24">
        <f>K24+T24+B24</f>
        <v/>
      </c>
      <c r="AD24" s="56">
        <f>SUM(AC$15:AC24)</f>
        <v/>
      </c>
      <c r="AE24" s="52">
        <f>(AD24/AD12)-1</f>
        <v/>
      </c>
    </row>
    <row r="25">
      <c r="A25" s="51" t="n">
        <v>45962</v>
      </c>
      <c r="B25" t="n">
        <v>4869</v>
      </c>
      <c r="C25" s="52">
        <f>(B25/B13)-1</f>
        <v/>
      </c>
      <c r="J25" s="51" t="n">
        <v>45962</v>
      </c>
      <c r="K25" t="n">
        <v>7259</v>
      </c>
      <c r="L25" s="52">
        <f>(K25/K13)-1</f>
        <v/>
      </c>
      <c r="S25" s="51" t="n">
        <v>45962</v>
      </c>
      <c r="T25" t="n">
        <v>4608</v>
      </c>
      <c r="U25" s="52" t="n"/>
      <c r="AB25" s="51" t="n">
        <v>45962</v>
      </c>
      <c r="AC25">
        <f>K25+T25+B25</f>
        <v/>
      </c>
      <c r="AD25" s="56">
        <f>SUM(AC$15:AC25)</f>
        <v/>
      </c>
      <c r="AE25" s="52">
        <f>(AD25/AD13)-1</f>
        <v/>
      </c>
    </row>
    <row r="26">
      <c r="A26" s="51" t="n">
        <v>45992</v>
      </c>
      <c r="B26" t="n">
        <v>6800</v>
      </c>
      <c r="C26" s="52">
        <f>(B26/B14)-1</f>
        <v/>
      </c>
      <c r="J26" s="51" t="n">
        <v>45992</v>
      </c>
      <c r="K26" t="n">
        <v>6240</v>
      </c>
      <c r="L26" s="52">
        <f>(K26/K14)-1</f>
        <v/>
      </c>
      <c r="S26" s="51" t="n">
        <v>45992</v>
      </c>
      <c r="T26" t="n">
        <v>5152</v>
      </c>
      <c r="U26" s="52" t="n"/>
      <c r="AB26" s="51" t="n">
        <v>45992</v>
      </c>
      <c r="AC26">
        <f>K26+T26+B26</f>
        <v/>
      </c>
      <c r="AD26" s="56">
        <f>SUM(AC$15:AC26)</f>
        <v/>
      </c>
      <c r="AE26" s="57">
        <f>(AD26/AD14)-1</f>
        <v/>
      </c>
      <c r="AF26" t="inlineStr">
        <is>
          <t>Births in the 3 states grew 2.26% from 2025 to 2024; raise the TFR by 2.26%</t>
        </is>
      </c>
    </row>
    <row r="27">
      <c r="A27" s="51" t="n">
        <v>46023</v>
      </c>
      <c r="B27" t="n">
        <v>6400</v>
      </c>
      <c r="C27" s="52">
        <f>(B27/B15)-1</f>
        <v/>
      </c>
      <c r="D27" s="64">
        <f>SUM(B27:B38)</f>
        <v/>
      </c>
      <c r="J27" s="51" t="n">
        <v>46023</v>
      </c>
      <c r="K27" t="n">
        <v>7741</v>
      </c>
      <c r="L27" s="52">
        <f>(K27/K15)-1</f>
        <v/>
      </c>
      <c r="M27" s="64">
        <f>SUM(K27:K38)</f>
        <v/>
      </c>
      <c r="S27" s="51" t="n">
        <v>46023</v>
      </c>
      <c r="U27" s="52" t="n"/>
      <c r="V27" s="64">
        <f>SUM(T27:T38)</f>
        <v/>
      </c>
      <c r="AB27" s="51" t="n">
        <v>46023</v>
      </c>
    </row>
    <row r="28">
      <c r="A28" s="51" t="n">
        <v>46054</v>
      </c>
      <c r="B28" t="n">
        <v>7187</v>
      </c>
      <c r="C28" s="52">
        <f>(B28/B16)-1</f>
        <v/>
      </c>
      <c r="J28" s="51" t="n">
        <v>46054</v>
      </c>
      <c r="K28" t="n">
        <v>8438</v>
      </c>
      <c r="L28" s="52">
        <f>(K28/K16)-1</f>
        <v/>
      </c>
      <c r="S28" s="51" t="n">
        <v>46054</v>
      </c>
      <c r="U28" s="52" t="n"/>
      <c r="AB28" s="51" t="n">
        <v>46054</v>
      </c>
    </row>
    <row r="29">
      <c r="A29" s="51" t="n">
        <v>46082</v>
      </c>
      <c r="B29" t="n">
        <v>5794</v>
      </c>
      <c r="C29" s="52">
        <f>(B29/B17)-1</f>
        <v/>
      </c>
      <c r="J29" s="51" t="n">
        <v>46082</v>
      </c>
      <c r="K29" t="n">
        <v>8914</v>
      </c>
      <c r="L29" s="52">
        <f>(K29/K17)-1</f>
        <v/>
      </c>
      <c r="S29" s="51" t="n">
        <v>46082</v>
      </c>
      <c r="U29" s="52" t="n"/>
      <c r="AB29" s="51" t="n">
        <v>46082</v>
      </c>
    </row>
    <row r="30">
      <c r="A30" s="51" t="n">
        <v>46113</v>
      </c>
      <c r="B30" t="n">
        <v>6273</v>
      </c>
      <c r="C30" s="52">
        <f>(B30/B18)-1</f>
        <v/>
      </c>
      <c r="J30" s="51" t="n">
        <v>46113</v>
      </c>
      <c r="K30" t="n">
        <v>7180</v>
      </c>
      <c r="L30" s="52">
        <f>(K30/K18)-1</f>
        <v/>
      </c>
      <c r="S30" s="51" t="n">
        <v>46113</v>
      </c>
      <c r="U30" s="52" t="n"/>
      <c r="AB30" s="51" t="n">
        <v>46113</v>
      </c>
    </row>
    <row r="31">
      <c r="A31" s="51" t="n">
        <v>46143</v>
      </c>
      <c r="B31" t="n">
        <v>6132</v>
      </c>
      <c r="C31" s="52">
        <f>(B31/B19)-1</f>
        <v/>
      </c>
      <c r="J31" s="51" t="n">
        <v>46143</v>
      </c>
      <c r="K31" t="n">
        <v>7996</v>
      </c>
      <c r="L31" s="52">
        <f>(K31/K19)-1</f>
        <v/>
      </c>
      <c r="S31" s="51" t="n">
        <v>46143</v>
      </c>
      <c r="U31" s="52" t="n"/>
      <c r="AB31" s="51" t="n">
        <v>46143</v>
      </c>
    </row>
    <row r="32">
      <c r="A32" s="51" t="n">
        <v>46174</v>
      </c>
      <c r="J32" s="51" t="n">
        <v>46174</v>
      </c>
      <c r="L32" s="52" t="n"/>
      <c r="S32" s="51" t="n">
        <v>46174</v>
      </c>
      <c r="U32" s="52" t="n"/>
      <c r="AB32" s="51" t="n">
        <v>46174</v>
      </c>
    </row>
    <row r="33">
      <c r="A33" s="51" t="n">
        <v>46204</v>
      </c>
      <c r="J33" s="51" t="n">
        <v>46204</v>
      </c>
      <c r="L33" s="52" t="n"/>
      <c r="S33" s="51" t="n">
        <v>46204</v>
      </c>
      <c r="U33" s="52" t="n"/>
      <c r="AB33" s="51" t="n">
        <v>46204</v>
      </c>
    </row>
    <row r="34">
      <c r="A34" s="51" t="n">
        <v>46235</v>
      </c>
      <c r="J34" s="51" t="n">
        <v>46235</v>
      </c>
      <c r="L34" s="52" t="n"/>
      <c r="S34" s="51" t="n">
        <v>46235</v>
      </c>
      <c r="U34" s="52" t="n"/>
      <c r="AB34" s="51" t="n">
        <v>46235</v>
      </c>
    </row>
    <row r="35">
      <c r="A35" s="51" t="n">
        <v>46266</v>
      </c>
      <c r="J35" s="51" t="n">
        <v>46266</v>
      </c>
      <c r="L35" s="52" t="n"/>
      <c r="S35" s="51" t="n">
        <v>46266</v>
      </c>
      <c r="U35" s="52" t="n"/>
      <c r="AB35" s="51" t="n">
        <v>46266</v>
      </c>
    </row>
    <row r="36">
      <c r="A36" s="51" t="n">
        <v>46296</v>
      </c>
      <c r="J36" s="51" t="n">
        <v>46296</v>
      </c>
      <c r="L36" s="52" t="n"/>
      <c r="S36" s="51" t="n">
        <v>46296</v>
      </c>
      <c r="U36" s="52" t="n"/>
      <c r="AB36" s="51" t="n">
        <v>46296</v>
      </c>
    </row>
    <row r="37">
      <c r="A37" s="51" t="n">
        <v>46327</v>
      </c>
      <c r="J37" s="51" t="n">
        <v>46327</v>
      </c>
      <c r="L37" s="52" t="n"/>
      <c r="S37" s="51" t="n">
        <v>46327</v>
      </c>
      <c r="U37" s="52" t="n"/>
      <c r="AB37" s="51" t="n">
        <v>46327</v>
      </c>
    </row>
    <row r="38">
      <c r="A38" s="51" t="n">
        <v>46357</v>
      </c>
      <c r="J38" s="51" t="n">
        <v>46357</v>
      </c>
      <c r="L38" s="52" t="n"/>
      <c r="S38" s="51" t="n">
        <v>46357</v>
      </c>
      <c r="U38" s="52" t="n"/>
      <c r="AB38" s="51" t="n">
        <v>46357</v>
      </c>
    </row>
  </sheetData>
  <mergeCells count="9">
    <mergeCell ref="M15:M26"/>
    <mergeCell ref="M27:M38"/>
    <mergeCell ref="V15:V26"/>
    <mergeCell ref="D3:D14"/>
    <mergeCell ref="V3:V14"/>
    <mergeCell ref="M3:M14"/>
    <mergeCell ref="V27:V38"/>
    <mergeCell ref="D27:D38"/>
    <mergeCell ref="D15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10" defaultColWidth="8.83203125" defaultRowHeight="15"/>
  <cols>
    <col width="120" customWidth="1" style="59" min="1" max="1"/>
  </cols>
  <sheetData>
    <row r="1" ht="21" customHeight="1" s="59">
      <c r="A1" s="10" t="inlineStr">
        <is>
          <t>Demoria Research — Birth Tracker input sheet</t>
        </is>
      </c>
    </row>
    <row r="2">
      <c r="A2" s="11" t="n"/>
    </row>
    <row r="3">
      <c r="A3" s="12" t="inlineStr">
        <is>
          <t>Fill in monthly birth counts as national statistical offices publish them. The converter does the rest.</t>
        </is>
      </c>
    </row>
    <row r="4">
      <c r="A4" s="11" t="n"/>
    </row>
    <row r="5" ht="16" customHeight="1" s="59">
      <c r="A5" s="13" t="inlineStr">
        <is>
          <t>MONTHLY (preferred):</t>
        </is>
      </c>
    </row>
    <row r="6">
      <c r="A6" s="11" t="inlineStr">
        <is>
          <t xml:space="preserve">  • Enter each month's births under 2025 and 2026. Enter the SAME months for both years so the % change is like-for-like.</t>
        </is>
      </c>
    </row>
    <row r="7">
      <c r="A7" s="11" t="inlineStr">
        <is>
          <t xml:space="preserve">  • e.g. if 2026 has Jan–Apr, fill Jan–Apr for BOTH 2025 and 2026. The tile then shows "first 4 months, +/- X%".</t>
        </is>
      </c>
    </row>
    <row r="8">
      <c r="A8" s="11" t="inlineStr">
        <is>
          <t xml:space="preserve">  • You don't need all 12 — just the months published so far. Add months as they come out.</t>
        </is>
      </c>
    </row>
    <row r="9">
      <c r="A9" s="11" t="n"/>
    </row>
    <row r="10" ht="16" customHeight="1" s="59">
      <c r="A10" s="13" t="inlineStr">
        <is>
          <t>ANNUAL ONLY (China, India, etc. that publish one yearly figure):</t>
        </is>
      </c>
    </row>
    <row r="11">
      <c r="A11" s="11" t="inlineStr">
        <is>
          <t xml:space="preserve">  • Leave the monthly cells blank and use the FY2025 / FY2026 columns instead.</t>
        </is>
      </c>
    </row>
    <row r="12">
      <c r="A12" s="11" t="n"/>
    </row>
    <row r="13" ht="16" customHeight="1" s="59">
      <c r="A13" s="13" t="inlineStr">
        <is>
          <t>THEN:</t>
        </is>
      </c>
    </row>
    <row r="14">
      <c r="A14" s="11" t="inlineStr">
        <is>
          <t xml:space="preserve">  • Save this file. Run:  python3 _births_from_sheet.py --write</t>
        </is>
      </c>
    </row>
    <row r="15">
      <c r="A15" s="11" t="inlineStr">
        <is>
          <t xml:space="preserve">  • It updates the website data; deploy as usual (cp + git push).</t>
        </is>
      </c>
    </row>
    <row r="16">
      <c r="A16" s="11" t="n"/>
    </row>
    <row r="17">
      <c r="A17" s="11" t="inlineStr">
        <is>
          <t>Leave a country blank and its card stays "awaiting release" — that's fine.</t>
        </is>
      </c>
    </row>
    <row r="18">
      <c r="A18" s="11" t="inlineStr">
        <is>
          <t>Source URL / Notes are for your own record-keeping (and future provenance display).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topLeftCell="A8" workbookViewId="0">
      <selection activeCell="G8" sqref="G8:G35"/>
    </sheetView>
  </sheetViews>
  <sheetFormatPr baseColWidth="10" defaultRowHeight="15"/>
  <sheetData>
    <row r="1" ht="23" customHeight="1" s="59">
      <c r="A1" s="14" t="n">
        <v>51816</v>
      </c>
    </row>
    <row r="2" ht="23" customHeight="1" s="59">
      <c r="A2" s="14" t="n">
        <v>48256</v>
      </c>
    </row>
    <row r="3" ht="23" customHeight="1" s="59">
      <c r="A3" s="14" t="n">
        <v>50767</v>
      </c>
    </row>
    <row r="4" ht="23" customHeight="1" s="59">
      <c r="A4" s="14" t="n">
        <v>54686</v>
      </c>
    </row>
    <row r="5" ht="23" customHeight="1" s="59">
      <c r="A5" s="14" t="n">
        <v>57896</v>
      </c>
    </row>
    <row r="6" ht="23" customHeight="1" s="59">
      <c r="A6" s="14" t="n">
        <v>55658</v>
      </c>
    </row>
    <row r="7" ht="24" customHeight="1" s="59">
      <c r="A7" s="14" t="n">
        <v>60650</v>
      </c>
      <c r="F7" s="41" t="n"/>
      <c r="G7" s="42" t="inlineStr">
        <is>
          <t>Live births</t>
        </is>
      </c>
    </row>
    <row r="8" ht="24" customHeight="1" s="59">
      <c r="A8" s="14" t="n">
        <v>58976</v>
      </c>
      <c r="F8" s="43" t="inlineStr">
        <is>
          <t>2024M01</t>
        </is>
      </c>
      <c r="G8" s="44" t="n">
        <v>3712</v>
      </c>
    </row>
    <row r="9" ht="24" customHeight="1" s="59">
      <c r="A9" s="14" t="n">
        <v>57407</v>
      </c>
      <c r="F9" s="43" t="inlineStr">
        <is>
          <t>2024M02</t>
        </is>
      </c>
      <c r="G9" s="44" t="n">
        <v>3436</v>
      </c>
    </row>
    <row r="10" ht="24" customHeight="1" s="59">
      <c r="A10" s="14" t="n">
        <v>59979</v>
      </c>
      <c r="F10" s="43" t="inlineStr">
        <is>
          <t>2024M03</t>
        </is>
      </c>
      <c r="G10" s="44" t="n">
        <v>3690</v>
      </c>
    </row>
    <row r="11" ht="24" customHeight="1" s="59">
      <c r="A11" s="14" t="n">
        <v>54047</v>
      </c>
      <c r="F11" s="43" t="inlineStr">
        <is>
          <t>2024M04</t>
        </is>
      </c>
      <c r="G11" s="44" t="n">
        <v>3613</v>
      </c>
    </row>
    <row r="12" ht="24" customHeight="1" s="59">
      <c r="A12" s="14" t="n">
        <v>61098</v>
      </c>
      <c r="F12" s="43" t="inlineStr">
        <is>
          <t>2024M05</t>
        </is>
      </c>
      <c r="G12" s="44" t="n">
        <v>3744</v>
      </c>
    </row>
    <row r="13" ht="20" customHeight="1" s="59">
      <c r="F13" s="43" t="inlineStr">
        <is>
          <t>2024M06</t>
        </is>
      </c>
      <c r="G13" s="44" t="n">
        <v>3733</v>
      </c>
    </row>
    <row r="14" ht="20" customHeight="1" s="59">
      <c r="F14" s="43" t="inlineStr">
        <is>
          <t>2024M07</t>
        </is>
      </c>
      <c r="G14" s="44" t="n">
        <v>3862</v>
      </c>
    </row>
    <row r="15" ht="20" customHeight="1" s="59">
      <c r="F15" s="43" t="inlineStr">
        <is>
          <t>2024M08</t>
        </is>
      </c>
      <c r="G15" s="44" t="n">
        <v>3676</v>
      </c>
    </row>
    <row r="16" ht="20" customHeight="1" s="59">
      <c r="F16" s="43" t="inlineStr">
        <is>
          <t>2024M09</t>
        </is>
      </c>
      <c r="G16" s="44" t="n">
        <v>3677</v>
      </c>
    </row>
    <row r="17" ht="20" customHeight="1" s="59">
      <c r="F17" s="43" t="inlineStr">
        <is>
          <t>2024M10</t>
        </is>
      </c>
      <c r="G17" s="44" t="n">
        <v>3753</v>
      </c>
    </row>
    <row r="18" ht="20" customHeight="1" s="59">
      <c r="F18" s="43" t="inlineStr">
        <is>
          <t>2024M11</t>
        </is>
      </c>
      <c r="G18" s="44" t="n">
        <v>3446</v>
      </c>
    </row>
    <row r="19" ht="20" customHeight="1" s="59">
      <c r="F19" s="43" t="inlineStr">
        <is>
          <t>2024M12</t>
        </is>
      </c>
      <c r="G19" s="44" t="n">
        <v>3378</v>
      </c>
    </row>
    <row r="20" ht="20" customHeight="1" s="59">
      <c r="F20" s="43" t="inlineStr">
        <is>
          <t>2025M01*</t>
        </is>
      </c>
      <c r="G20" s="44" t="n">
        <v>3839</v>
      </c>
    </row>
    <row r="21" ht="20" customHeight="1" s="59">
      <c r="F21" s="43" t="inlineStr">
        <is>
          <t>2025M02*</t>
        </is>
      </c>
      <c r="G21" s="44" t="n">
        <v>3311</v>
      </c>
    </row>
    <row r="22" ht="20" customHeight="1" s="59">
      <c r="F22" s="43" t="inlineStr">
        <is>
          <t>2025M03*</t>
        </is>
      </c>
      <c r="G22" s="44" t="n">
        <v>3755</v>
      </c>
    </row>
    <row r="23" ht="20" customHeight="1" s="59">
      <c r="F23" s="43" t="inlineStr">
        <is>
          <t>2025M04*</t>
        </is>
      </c>
      <c r="G23" s="44" t="n">
        <v>3674</v>
      </c>
    </row>
    <row r="24" ht="20" customHeight="1" s="59">
      <c r="F24" s="43" t="inlineStr">
        <is>
          <t>2025M05*</t>
        </is>
      </c>
      <c r="G24" s="44" t="n">
        <v>3858</v>
      </c>
    </row>
    <row r="25" ht="20" customHeight="1" s="59">
      <c r="F25" s="43" t="inlineStr">
        <is>
          <t>2025M06*</t>
        </is>
      </c>
      <c r="G25" s="44" t="n">
        <v>3972</v>
      </c>
    </row>
    <row r="26" ht="20" customHeight="1" s="59">
      <c r="F26" s="43" t="inlineStr">
        <is>
          <t>2025M07*</t>
        </is>
      </c>
      <c r="G26" s="44" t="n">
        <v>4090</v>
      </c>
    </row>
    <row r="27" ht="20" customHeight="1" s="59">
      <c r="F27" s="43" t="inlineStr">
        <is>
          <t>2025M08*</t>
        </is>
      </c>
      <c r="G27" s="44" t="n">
        <v>4040</v>
      </c>
    </row>
    <row r="28" ht="20" customHeight="1" s="59">
      <c r="F28" s="43" t="inlineStr">
        <is>
          <t>2025M09*</t>
        </is>
      </c>
      <c r="G28" s="44" t="n">
        <v>3959</v>
      </c>
    </row>
    <row r="29" ht="20" customHeight="1" s="59">
      <c r="F29" s="43" t="inlineStr">
        <is>
          <t>2025M10*</t>
        </is>
      </c>
      <c r="G29" s="44" t="n">
        <v>4110</v>
      </c>
    </row>
    <row r="30" ht="20" customHeight="1" s="59">
      <c r="F30" s="43" t="inlineStr">
        <is>
          <t>2025M11*</t>
        </is>
      </c>
      <c r="G30" s="44" t="n">
        <v>3657</v>
      </c>
    </row>
    <row r="31" ht="20" customHeight="1" s="59">
      <c r="F31" s="43" t="inlineStr">
        <is>
          <t>2025M12*</t>
        </is>
      </c>
      <c r="G31" s="44" t="n">
        <v>3570</v>
      </c>
    </row>
    <row r="32" ht="20" customHeight="1" s="59">
      <c r="F32" s="43" t="inlineStr">
        <is>
          <t>2026M01*</t>
        </is>
      </c>
      <c r="G32" s="44" t="n">
        <v>4062</v>
      </c>
    </row>
    <row r="33" ht="20" customHeight="1" s="59">
      <c r="F33" s="43" t="inlineStr">
        <is>
          <t>2026M02*</t>
        </is>
      </c>
      <c r="G33" s="44" t="n">
        <v>3632</v>
      </c>
    </row>
    <row r="34" ht="20" customHeight="1" s="59">
      <c r="F34" s="43" t="inlineStr">
        <is>
          <t>2026M03*</t>
        </is>
      </c>
      <c r="G34" s="44" t="n">
        <v>3856</v>
      </c>
    </row>
    <row r="35" ht="20" customHeight="1" s="59">
      <c r="F35" s="43" t="inlineStr">
        <is>
          <t>2026M04*</t>
        </is>
      </c>
      <c r="G35" s="44" t="n">
        <v>3873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2026-06-08T05:11:51Z</dcterms:created>
  <dcterms:modified xmlns:dcterms="http://purl.org/dc/terms/" xmlns:xsi="http://www.w3.org/2001/XMLSchema-instance" xsi:type="dcterms:W3CDTF">2026-06-10T09:51:43Z</dcterms:modified>
  <cp:lastModifiedBy>Harry Nedeljkovic</cp:lastModifiedBy>
  <cp:lastPrinted>2026-06-08T11:45:22Z</cp:lastPrinted>
</cp:coreProperties>
</file>