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80" windowWidth="16820" windowHeight="18180" tabRatio="600" firstSheet="0" activeTab="0" autoFilterDateGrouping="1"/>
  </bookViews>
  <sheets>
    <sheet xmlns:r="http://schemas.openxmlformats.org/officeDocument/2006/relationships" name="Births" sheetId="1" state="visible" r:id="rId1"/>
    <sheet xmlns:r="http://schemas.openxmlformats.org/officeDocument/2006/relationships" name="How to use" sheetId="2" state="visible" r:id="rId2"/>
    <sheet xmlns:r="http://schemas.openxmlformats.org/officeDocument/2006/relationships" name="Sheet1" sheetId="3" state="visible" r:id="rId3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#\ ###"/>
    <numFmt numFmtId="165" formatCode="###,##0"/>
  </numFmts>
  <fonts count="18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0"/>
    </font>
    <font>
      <name val="Calibri"/>
      <family val="2"/>
      <b val="1"/>
      <color rgb="FFFFFFFF"/>
      <sz val="9"/>
    </font>
    <font>
      <name val="Calibri"/>
      <family val="2"/>
      <b val="1"/>
      <color rgb="FFFFFFFF"/>
      <sz val="10"/>
    </font>
    <font>
      <name val="Calibri"/>
      <family val="2"/>
      <b val="1"/>
      <color rgb="FF0C1A33"/>
      <sz val="10"/>
    </font>
    <font>
      <name val="Calibri"/>
      <family val="2"/>
      <color rgb="FF888888"/>
      <sz val="9"/>
    </font>
    <font>
      <name val="Calibri"/>
      <family val="2"/>
      <b val="1"/>
      <sz val="10"/>
    </font>
    <font>
      <name val="Calibri"/>
      <family val="2"/>
      <color rgb="FF666666"/>
      <sz val="9"/>
    </font>
    <font>
      <name val="Calibri"/>
      <family val="2"/>
      <b val="1"/>
      <color rgb="FFE8B84B"/>
      <sz val="16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C1A33"/>
      <sz val="12"/>
    </font>
    <font>
      <name val="メイリオ"/>
      <charset val="128"/>
      <family val="2"/>
      <color rgb="FF333333"/>
      <sz val="14.3"/>
    </font>
    <font>
      <name val="Calibri"/>
      <family val="2"/>
      <color rgb="FF333333"/>
      <sz val="12"/>
      <scheme val="minor"/>
    </font>
    <font>
      <name val="Calibri"/>
      <family val="2"/>
      <color theme="10"/>
      <sz val="11"/>
      <u val="single"/>
      <scheme val="minor"/>
    </font>
    <font>
      <name val="新細明體"/>
      <charset val="136"/>
      <family val="1"/>
      <sz val="12"/>
    </font>
    <font>
      <name val="Times New Roman"/>
      <family val="1"/>
      <color theme="1"/>
      <sz val="9"/>
    </font>
    <font>
      <name val="Times New Roman"/>
      <family val="1"/>
      <color theme="1" tint="0.0499893185216834"/>
      <sz val="9"/>
    </font>
  </fonts>
  <fills count="11">
    <fill>
      <patternFill/>
    </fill>
    <fill>
      <patternFill patternType="gray125"/>
    </fill>
    <fill>
      <patternFill patternType="solid">
        <fgColor rgb="FF0C1A33"/>
      </patternFill>
    </fill>
    <fill>
      <patternFill patternType="solid">
        <fgColor rgb="FF3A5A8A"/>
      </patternFill>
    </fill>
    <fill>
      <patternFill patternType="solid">
        <fgColor rgb="FFB58420"/>
      </patternFill>
    </fill>
    <fill>
      <patternFill patternType="solid">
        <fgColor rgb="FF6A6A4A"/>
      </patternFill>
    </fill>
    <fill>
      <patternFill patternType="solid">
        <fgColor rgb="FFE8B84B"/>
      </patternFill>
    </fill>
    <fill>
      <patternFill patternType="solid">
        <fgColor rgb="FFE8EEF7"/>
      </patternFill>
    </fill>
    <fill>
      <patternFill patternType="solid">
        <fgColor rgb="FFFDF2D6"/>
      </patternFill>
    </fill>
    <fill>
      <patternFill patternType="solid">
        <fgColor rgb="FFEAE3CF"/>
      </patternFill>
    </fill>
    <fill>
      <patternFill patternType="solid">
        <fgColor rgb="FFE8EEF7"/>
        <bgColor indexed="64"/>
      </patternFill>
    </fill>
  </fills>
  <borders count="5">
    <border>
      <left/>
      <right/>
      <top/>
      <bottom/>
      <diagonal/>
    </border>
    <border>
      <left style="thin">
        <color rgb="FFCFD6E0"/>
      </left>
      <right style="thin">
        <color rgb="FFCFD6E0"/>
      </right>
      <top style="thin">
        <color rgb="FFCFD6E0"/>
      </top>
      <bottom style="thin">
        <color rgb="FFCFD6E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FD6E0"/>
      </left>
      <right/>
      <top style="thin">
        <color rgb="FFCFD6E0"/>
      </top>
      <bottom style="thin">
        <color rgb="FFCFD6E0"/>
      </bottom>
      <diagonal/>
    </border>
    <border>
      <left/>
      <right style="thin">
        <color rgb="FFCFD6E0"/>
      </right>
      <top style="thin">
        <color rgb="FFCFD6E0"/>
      </top>
      <bottom style="thin">
        <color rgb="FFCFD6E0"/>
      </bottom>
      <diagonal/>
    </border>
  </borders>
  <cellStyleXfs count="3">
    <xf numFmtId="0" fontId="0" fillId="0" borderId="0"/>
    <xf numFmtId="0" fontId="14" fillId="0" borderId="0"/>
    <xf numFmtId="0" fontId="15" fillId="0" borderId="0"/>
  </cellStyleXfs>
  <cellXfs count="31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5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0" fillId="7" borderId="1" applyAlignment="1" pivotButton="0" quotePrefix="0" xfId="0">
      <alignment horizontal="center" vertical="center"/>
    </xf>
    <xf numFmtId="3" fontId="0" fillId="8" borderId="1" applyAlignment="1" pivotButton="0" quotePrefix="0" xfId="0">
      <alignment horizontal="center" vertical="center"/>
    </xf>
    <xf numFmtId="3" fontId="0" fillId="9" borderId="1" applyAlignment="1" pivotButton="0" quotePrefix="0" xfId="0">
      <alignment horizontal="center" vertical="center"/>
    </xf>
    <xf numFmtId="0" fontId="0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4" fillId="6" borderId="0" applyAlignment="1" pivotButton="0" quotePrefix="0" xfId="0">
      <alignment horizontal="left" vertical="center"/>
    </xf>
    <xf numFmtId="0" fontId="0" fillId="0" borderId="0" pivotButton="0" quotePrefix="0" xfId="0"/>
    <xf numFmtId="0" fontId="3" fillId="5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12" fillId="0" borderId="0" pivotButton="0" quotePrefix="0" xfId="0"/>
    <xf numFmtId="0" fontId="7" fillId="0" borderId="3" pivotButton="0" quotePrefix="0" xfId="0"/>
    <xf numFmtId="3" fontId="0" fillId="8" borderId="4" applyAlignment="1" pivotButton="0" quotePrefix="0" xfId="0">
      <alignment horizontal="center" vertical="center"/>
    </xf>
    <xf numFmtId="3" fontId="0" fillId="10" borderId="0" applyAlignment="1" pivotButton="0" quotePrefix="0" xfId="0">
      <alignment horizontal="right"/>
    </xf>
    <xf numFmtId="3" fontId="13" fillId="0" borderId="0" pivotButton="0" quotePrefix="0" xfId="0"/>
    <xf numFmtId="0" fontId="14" fillId="0" borderId="1" pivotButton="0" quotePrefix="0" xfId="1"/>
    <xf numFmtId="0" fontId="14" fillId="0" borderId="0" pivotButton="0" quotePrefix="0" xfId="1"/>
    <xf numFmtId="164" fontId="16" fillId="0" borderId="0" pivotButton="0" quotePrefix="0" xfId="2"/>
    <xf numFmtId="165" fontId="17" fillId="0" borderId="2" applyAlignment="1" pivotButton="0" quotePrefix="0" xfId="0">
      <alignment horizontal="right"/>
    </xf>
    <xf numFmtId="164" fontId="16" fillId="0" borderId="0" pivotButton="0" quotePrefix="0" xfId="2"/>
    <xf numFmtId="165" fontId="17" fillId="0" borderId="2" applyAlignment="1" pivotButton="0" quotePrefix="0" xfId="0">
      <alignment horizontal="right"/>
    </xf>
  </cellXfs>
  <cellStyles count="3">
    <cellStyle name="Normal" xfId="0" builtinId="0"/>
    <cellStyle name="Hyperlink" xfId="1" builtinId="8"/>
    <cellStyle name="一般 3" xfId="2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tats.gov.cn/english/PressRelease/202602/t20260228_1962661.html" TargetMode="External" Id="rId1"/><Relationship Type="http://schemas.openxmlformats.org/officeDocument/2006/relationships/hyperlink" Target="https://www.censtatd.gov.hk/en/EIndexbySubject.html?scode=460&amp;pcode=B1010002" TargetMode="External" Id="rId2"/><Relationship Type="http://schemas.openxmlformats.org/officeDocument/2006/relationships/hyperlink" Target="https://www.mhlw.go.jp/toukei/saikin/hw/jinkou/geppo/s2026/03.html" TargetMode="External" Id="rId3"/><Relationship Type="http://schemas.openxmlformats.org/officeDocument/2006/relationships/hyperlink" Target="https://www.dsec.gov.mo/ts/" TargetMode="External" Id="rId4"/><Relationship Type="http://schemas.openxmlformats.org/officeDocument/2006/relationships/hyperlink" Target="https://data.mn/en/data/nso-live-births-monthly" TargetMode="External" Id="rId5"/><Relationship Type="http://schemas.openxmlformats.org/officeDocument/2006/relationships/hyperlink" Target="https://kosis.kr/statHtml/statHtml.do?sso=ok&amp;returnurl=https%3A%2F%2Fkosis.kr%3A443%2FstatHtml%2FstatHtml.do%3Flist_id%3DA_3%26obj_var_id%3D%26seqNo%3D%26tblId%3DDT_1B8000G%26vw_cd%3DMT_ETITLE%26language%3Den%26orgId%3D101%26path%3D%252Feng%252FstatisticsList%252FstatisticsListIndex.do%26conn_path%3DMT_ETITLE%26itm_id%3D%26lang_mode%3Den%26scrId%3D%26" TargetMode="External" Id="rId6"/><Relationship Type="http://schemas.openxmlformats.org/officeDocument/2006/relationships/hyperlink" Target="https://statis.moi.gov.tw/micst/webMain.aspx?k=menume" TargetMode="External" Id="rId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"/>
  <sheetViews>
    <sheetView tabSelected="1" workbookViewId="0">
      <pane xSplit="3" ySplit="2" topLeftCell="AA3" activePane="bottomRight" state="frozen"/>
      <selection pane="topRight" activeCell="A1" sqref="A1"/>
      <selection pane="bottomLeft" activeCell="A1" sqref="A1"/>
      <selection pane="bottomRight" activeCell="AD12" sqref="AD12"/>
    </sheetView>
  </sheetViews>
  <sheetFormatPr baseColWidth="10" defaultColWidth="8.83203125" defaultRowHeight="15"/>
  <cols>
    <col width="6" customWidth="1" style="15" min="1" max="1"/>
    <col width="20" customWidth="1" style="15" min="2" max="2"/>
    <col width="24" customWidth="1" style="15" min="3" max="3"/>
    <col width="7.5" customWidth="1" style="15" min="4" max="27"/>
    <col width="14.6640625" customWidth="1" style="15" min="28" max="28"/>
    <col width="13" customWidth="1" style="15" min="29" max="29"/>
    <col width="40" customWidth="1" style="15" min="30" max="30"/>
    <col width="24" customWidth="1" style="15" min="31" max="31"/>
  </cols>
  <sheetData>
    <row r="1" ht="18" customHeight="1" s="15">
      <c r="A1" s="18" t="inlineStr">
        <is>
          <t>COUNTRY</t>
        </is>
      </c>
      <c r="D1" s="17" t="inlineStr">
        <is>
          <t>MONTHLY BIRTHS 2025</t>
        </is>
      </c>
      <c r="P1" s="19" t="inlineStr">
        <is>
          <t>MONTHLY BIRTHS 2026</t>
        </is>
      </c>
      <c r="AB1" s="16" t="inlineStr">
        <is>
          <t>ANNUAL FALLBACK</t>
        </is>
      </c>
      <c r="AD1" s="18" t="inlineStr">
        <is>
          <t>PROVENANCE</t>
        </is>
      </c>
    </row>
    <row r="2" ht="22" customHeight="1" s="15">
      <c r="A2" s="1" t="inlineStr">
        <is>
          <t>ISO</t>
        </is>
      </c>
      <c r="B2" s="1" t="inlineStr">
        <is>
          <t>Country</t>
        </is>
      </c>
      <c r="C2" s="1" t="inlineStr">
        <is>
          <t>Region</t>
        </is>
      </c>
      <c r="D2" s="2" t="inlineStr">
        <is>
          <t>Jan</t>
        </is>
      </c>
      <c r="E2" s="2" t="inlineStr">
        <is>
          <t>Feb</t>
        </is>
      </c>
      <c r="F2" s="2" t="inlineStr">
        <is>
          <t>Mar</t>
        </is>
      </c>
      <c r="G2" s="2" t="inlineStr">
        <is>
          <t>Apr</t>
        </is>
      </c>
      <c r="H2" s="2" t="inlineStr">
        <is>
          <t>May</t>
        </is>
      </c>
      <c r="I2" s="2" t="inlineStr">
        <is>
          <t>Jun</t>
        </is>
      </c>
      <c r="J2" s="2" t="inlineStr">
        <is>
          <t>Jul</t>
        </is>
      </c>
      <c r="K2" s="2" t="inlineStr">
        <is>
          <t>Aug</t>
        </is>
      </c>
      <c r="L2" s="2" t="inlineStr">
        <is>
          <t>Sep</t>
        </is>
      </c>
      <c r="M2" s="2" t="inlineStr">
        <is>
          <t>Oct</t>
        </is>
      </c>
      <c r="N2" s="2" t="inlineStr">
        <is>
          <t>Nov</t>
        </is>
      </c>
      <c r="O2" s="2" t="inlineStr">
        <is>
          <t>Dec</t>
        </is>
      </c>
      <c r="P2" s="2" t="inlineStr">
        <is>
          <t>Jan</t>
        </is>
      </c>
      <c r="Q2" s="2" t="inlineStr">
        <is>
          <t>Feb</t>
        </is>
      </c>
      <c r="R2" s="2" t="inlineStr">
        <is>
          <t>Mar</t>
        </is>
      </c>
      <c r="S2" s="2" t="inlineStr">
        <is>
          <t>Apr</t>
        </is>
      </c>
      <c r="T2" s="2" t="inlineStr">
        <is>
          <t>May</t>
        </is>
      </c>
      <c r="U2" s="2" t="inlineStr">
        <is>
          <t>Jun</t>
        </is>
      </c>
      <c r="V2" s="2" t="inlineStr">
        <is>
          <t>Jul</t>
        </is>
      </c>
      <c r="W2" s="2" t="inlineStr">
        <is>
          <t>Aug</t>
        </is>
      </c>
      <c r="X2" s="2" t="inlineStr">
        <is>
          <t>Sep</t>
        </is>
      </c>
      <c r="Y2" s="2" t="inlineStr">
        <is>
          <t>Oct</t>
        </is>
      </c>
      <c r="Z2" s="2" t="inlineStr">
        <is>
          <t>Nov</t>
        </is>
      </c>
      <c r="AA2" s="2" t="inlineStr">
        <is>
          <t>Dec</t>
        </is>
      </c>
      <c r="AB2" s="2" t="inlineStr">
        <is>
          <t>FY2025 (annual only)</t>
        </is>
      </c>
      <c r="AC2" s="2" t="inlineStr">
        <is>
          <t>FY2026 (annual only)</t>
        </is>
      </c>
      <c r="AD2" s="1" t="inlineStr">
        <is>
          <t>Source URL</t>
        </is>
      </c>
      <c r="AE2" s="1" t="inlineStr">
        <is>
          <t>Notes</t>
        </is>
      </c>
    </row>
    <row r="3">
      <c r="A3" s="14" t="inlineStr">
        <is>
          <t>EAST ASIA</t>
        </is>
      </c>
    </row>
    <row r="4">
      <c r="A4" s="3" t="inlineStr">
        <is>
          <t>CHN</t>
        </is>
      </c>
      <c r="B4" s="4" t="inlineStr">
        <is>
          <t>China</t>
        </is>
      </c>
      <c r="C4" s="5" t="inlineStr">
        <is>
          <t>East Asia</t>
        </is>
      </c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  <c r="AB4" s="8" t="n">
        <v>7920000</v>
      </c>
      <c r="AC4" s="8" t="n">
        <v>9540000</v>
      </c>
      <c r="AD4" s="25" t="inlineStr">
        <is>
          <t>https://www.stats.gov.cn/english/PressRelease/202602/t20260228_1962661.html</t>
        </is>
      </c>
      <c r="AE4" s="9" t="inlineStr">
        <is>
          <t>Annual</t>
        </is>
      </c>
    </row>
    <row r="5">
      <c r="A5" s="3" t="inlineStr">
        <is>
          <t>HKG</t>
        </is>
      </c>
      <c r="B5" s="4" t="inlineStr">
        <is>
          <t>Hong Kong</t>
        </is>
      </c>
      <c r="C5" s="5" t="inlineStr">
        <is>
          <t>East Asia</t>
        </is>
      </c>
      <c r="D5" s="29" t="n">
        <v>3089</v>
      </c>
      <c r="E5" s="29" t="n">
        <v>2938</v>
      </c>
      <c r="F5" s="29" t="n">
        <v>2746</v>
      </c>
      <c r="G5" s="29" t="n">
        <v>2547</v>
      </c>
      <c r="H5" s="29" t="n">
        <v>2535</v>
      </c>
      <c r="I5" s="29" t="n">
        <v>2484</v>
      </c>
      <c r="J5" s="29" t="n">
        <v>2569</v>
      </c>
      <c r="K5" s="29" t="n">
        <v>2451</v>
      </c>
      <c r="L5" s="29" t="n">
        <v>2498</v>
      </c>
      <c r="M5" s="29" t="n">
        <v>2732</v>
      </c>
      <c r="N5" s="29" t="n">
        <v>2471</v>
      </c>
      <c r="O5" s="29" t="n">
        <v>2654</v>
      </c>
      <c r="P5" s="29" t="n">
        <v>2540</v>
      </c>
      <c r="Q5" s="29" t="n">
        <v>2247</v>
      </c>
      <c r="R5" s="29" t="n">
        <v>2608</v>
      </c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8">
        <f>SUM(D5:O5)</f>
        <v/>
      </c>
      <c r="AC5" s="8">
        <f>SUM(P5:AA5)</f>
        <v/>
      </c>
      <c r="AD5" s="25" t="inlineStr">
        <is>
          <t>https://www.censtatd.gov.hk/en/EIndexbySubject.html?scode=460&amp;pcode=B1010002</t>
        </is>
      </c>
      <c r="AE5" s="9" t="inlineStr">
        <is>
          <t>Monthly - 3 month lag</t>
        </is>
      </c>
    </row>
    <row r="6" ht="16" customHeight="1" s="15">
      <c r="A6" s="3" t="inlineStr">
        <is>
          <t>JPN</t>
        </is>
      </c>
      <c r="B6" s="4" t="inlineStr">
        <is>
          <t>Japan</t>
        </is>
      </c>
      <c r="C6" s="5" t="inlineStr">
        <is>
          <t>East Asia</t>
        </is>
      </c>
      <c r="D6" s="24" t="n">
        <v>58385</v>
      </c>
      <c r="E6" s="24" t="n">
        <v>50951</v>
      </c>
      <c r="F6" s="24" t="n">
        <v>53619</v>
      </c>
      <c r="G6" s="24" t="n">
        <v>57306</v>
      </c>
      <c r="H6" s="24" t="n">
        <v>60718</v>
      </c>
      <c r="I6" s="24" t="n">
        <v>58301</v>
      </c>
      <c r="J6" s="24" t="n">
        <v>63415</v>
      </c>
      <c r="K6" s="24" t="n">
        <v>61822</v>
      </c>
      <c r="L6" s="24" t="n">
        <v>60547</v>
      </c>
      <c r="M6" s="24" t="n">
        <v>63210</v>
      </c>
      <c r="N6" s="24" t="n">
        <v>56981</v>
      </c>
      <c r="O6" s="24" t="n">
        <v>60554</v>
      </c>
      <c r="P6" s="7" t="n">
        <v>58694</v>
      </c>
      <c r="Q6" s="7" t="n">
        <v>50761</v>
      </c>
      <c r="R6" s="7" t="n">
        <v>53844</v>
      </c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8" t="n">
        <v>705809</v>
      </c>
      <c r="AC6" s="8" t="n">
        <v>163299</v>
      </c>
      <c r="AD6" s="25" t="inlineStr">
        <is>
          <t>https://www.mhlw.go.jp/toukei/saikin/hw/jinkou/geppo/ (速報 / flash series)</t>
        </is>
      </c>
      <c r="AE6" s="9" t="inlineStr">
        <is>
          <t>Monthly - 3 month lag</t>
        </is>
      </c>
    </row>
    <row r="7">
      <c r="A7" s="3" t="inlineStr">
        <is>
          <t>MAC</t>
        </is>
      </c>
      <c r="B7" s="4" t="inlineStr">
        <is>
          <t>Macao</t>
        </is>
      </c>
      <c r="C7" s="5" t="inlineStr">
        <is>
          <t>East Asia</t>
        </is>
      </c>
      <c r="D7" s="6">
        <f>150+136</f>
        <v/>
      </c>
      <c r="E7" s="6">
        <f>123+115</f>
        <v/>
      </c>
      <c r="F7" s="6">
        <f>104+122</f>
        <v/>
      </c>
      <c r="G7" s="6">
        <f>125+131</f>
        <v/>
      </c>
      <c r="H7" s="6">
        <f>114+100</f>
        <v/>
      </c>
      <c r="I7" s="6">
        <f>98+103</f>
        <v/>
      </c>
      <c r="J7" s="6">
        <f>129+112</f>
        <v/>
      </c>
      <c r="K7" s="6">
        <f>121+104</f>
        <v/>
      </c>
      <c r="L7" s="6">
        <f>136+107</f>
        <v/>
      </c>
      <c r="M7" s="6">
        <f>122+133</f>
        <v/>
      </c>
      <c r="N7" s="6">
        <f>118+112</f>
        <v/>
      </c>
      <c r="O7" s="6">
        <f>124+131</f>
        <v/>
      </c>
      <c r="P7" s="7">
        <f>138+114</f>
        <v/>
      </c>
      <c r="Q7" s="7">
        <f>121+91</f>
        <v/>
      </c>
      <c r="R7" s="7">
        <f>124+102</f>
        <v/>
      </c>
      <c r="S7" s="7">
        <f>87+123</f>
        <v/>
      </c>
      <c r="T7" s="7" t="n"/>
      <c r="U7" s="7" t="n"/>
      <c r="V7" s="7" t="n"/>
      <c r="W7" s="7" t="n"/>
      <c r="X7" s="7" t="n"/>
      <c r="Y7" s="7" t="n"/>
      <c r="Z7" s="7" t="n"/>
      <c r="AA7" s="7" t="n"/>
      <c r="AB7" s="8">
        <f>SUM(D7:O7)</f>
        <v/>
      </c>
      <c r="AC7" s="8">
        <f>SUM(P7:AA7)</f>
        <v/>
      </c>
      <c r="AD7" s="25" t="inlineStr">
        <is>
          <t>https://www.dsec.gov.mo/ts/#!/step2/PredefinedReport/en-US/1</t>
        </is>
      </c>
      <c r="AE7" s="9" t="inlineStr">
        <is>
          <t>Monthly - 2 month lag</t>
        </is>
      </c>
    </row>
    <row r="8">
      <c r="A8" s="3" t="inlineStr">
        <is>
          <t>MNG</t>
        </is>
      </c>
      <c r="B8" s="4" t="inlineStr">
        <is>
          <t>Mongolia</t>
        </is>
      </c>
      <c r="C8" s="5" t="inlineStr">
        <is>
          <t>East Asia</t>
        </is>
      </c>
      <c r="D8" t="n">
        <v>4675</v>
      </c>
      <c r="E8" t="n">
        <v>4264</v>
      </c>
      <c r="F8" t="n">
        <v>4543</v>
      </c>
      <c r="G8" t="n">
        <v>4532</v>
      </c>
      <c r="H8" t="n">
        <v>4542</v>
      </c>
      <c r="I8" t="n">
        <v>4445</v>
      </c>
      <c r="J8" t="n">
        <v>4664</v>
      </c>
      <c r="K8" t="n">
        <v>4516</v>
      </c>
      <c r="L8" t="n">
        <v>4552</v>
      </c>
      <c r="M8" t="n">
        <v>4565</v>
      </c>
      <c r="N8" t="n">
        <v>4403</v>
      </c>
      <c r="O8" t="n">
        <v>4436</v>
      </c>
      <c r="P8" t="n">
        <v>4262</v>
      </c>
      <c r="Q8" t="n">
        <v>4467</v>
      </c>
      <c r="R8" t="n">
        <v>4089</v>
      </c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8">
        <f>SUM(D8:O8)</f>
        <v/>
      </c>
      <c r="AC8" s="8">
        <f>SUM(P8:AA8)</f>
        <v/>
      </c>
      <c r="AD8" s="25" t="inlineStr">
        <is>
          <t>https://data.mn/en/data/nso-live-births-monthly</t>
        </is>
      </c>
      <c r="AE8" s="9" t="inlineStr">
        <is>
          <t>?</t>
        </is>
      </c>
    </row>
    <row r="9">
      <c r="A9" s="3" t="inlineStr">
        <is>
          <t>KOR</t>
        </is>
      </c>
      <c r="B9" s="4" t="inlineStr">
        <is>
          <t>South Korea</t>
        </is>
      </c>
      <c r="C9" s="21" t="inlineStr">
        <is>
          <t>East Asia</t>
        </is>
      </c>
      <c r="D9" s="23" t="n">
        <v>24099</v>
      </c>
      <c r="E9" s="23" t="n">
        <v>20151</v>
      </c>
      <c r="F9" s="23" t="n">
        <v>21112</v>
      </c>
      <c r="G9" s="23" t="n">
        <v>20787</v>
      </c>
      <c r="H9" s="23" t="n">
        <v>20379</v>
      </c>
      <c r="I9" s="23" t="n">
        <v>20011</v>
      </c>
      <c r="J9" s="23" t="n">
        <v>21863</v>
      </c>
      <c r="K9" s="23" t="n">
        <v>21000</v>
      </c>
      <c r="L9" s="23" t="n">
        <v>22391</v>
      </c>
      <c r="M9" s="23" t="n">
        <v>21977</v>
      </c>
      <c r="N9" s="23" t="n">
        <v>20684</v>
      </c>
      <c r="O9" s="23" t="n">
        <v>20003</v>
      </c>
      <c r="P9" s="22" t="n">
        <v>26916</v>
      </c>
      <c r="Q9" s="7" t="n">
        <v>22898</v>
      </c>
      <c r="R9" s="7" t="n">
        <v>25200</v>
      </c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8">
        <f>SUM(D9:O9)</f>
        <v/>
      </c>
      <c r="AC9" s="8">
        <f>SUM(P9:AA9)</f>
        <v/>
      </c>
      <c r="AD9" s="26" t="inlineStr">
        <is>
          <t>https://kosis.kr/statHtml/statHtml.do?sso=ok&amp;returnurl=https%3A%2F%2Fkosis.kr%3A443%2FstatHtml%2FstatHtml.do%3Flist_id%3DA_3%26obj_var_id%3D%26seqNo%3D%26tblId%3DDT_1B8000G%26vw_cd%3DMT_ETITLE%26language%3Den%26orgId%3D101%26path%3D%252Feng%252FstatisticsList%252FstatisticsListIndex.do%26conn_path%3DMT_ETITLE%26itm_id%3D%26lang_mode%3Den%26scrId%3D%26</t>
        </is>
      </c>
      <c r="AE9" s="9" t="inlineStr">
        <is>
          <t>Monthly - 3 month lag</t>
        </is>
      </c>
    </row>
    <row r="10">
      <c r="A10" s="3" t="inlineStr">
        <is>
          <t>TWN</t>
        </is>
      </c>
      <c r="B10" s="4" t="inlineStr">
        <is>
          <t>Taiwan</t>
        </is>
      </c>
      <c r="C10" s="5" t="inlineStr">
        <is>
          <t>East Asia</t>
        </is>
      </c>
      <c r="D10" s="30" t="n">
        <v>9495</v>
      </c>
      <c r="E10" s="30" t="n">
        <v>10407</v>
      </c>
      <c r="F10" s="30" t="n">
        <v>9388</v>
      </c>
      <c r="G10" s="30" t="n">
        <v>8684</v>
      </c>
      <c r="H10" s="30" t="n">
        <v>8433</v>
      </c>
      <c r="I10" s="30" t="n">
        <v>8968</v>
      </c>
      <c r="J10" s="30" t="n">
        <v>8939</v>
      </c>
      <c r="K10" s="30" t="n">
        <v>8464</v>
      </c>
      <c r="L10" s="30" t="n">
        <v>8603</v>
      </c>
      <c r="M10" s="30" t="n">
        <v>9458</v>
      </c>
      <c r="N10" s="30" t="n">
        <v>7946</v>
      </c>
      <c r="O10" s="30" t="n">
        <v>9027</v>
      </c>
      <c r="P10" s="7" t="n">
        <v>8723</v>
      </c>
      <c r="Q10" s="7" t="n">
        <v>6523</v>
      </c>
      <c r="R10" s="7" t="n">
        <v>8798</v>
      </c>
      <c r="S10" s="7" t="n">
        <v>8144</v>
      </c>
      <c r="T10" s="7" t="n"/>
      <c r="U10" s="7" t="n"/>
      <c r="V10" s="7" t="n"/>
      <c r="W10" s="7" t="n"/>
      <c r="X10" s="7" t="n"/>
      <c r="Y10" s="7" t="n"/>
      <c r="Z10" s="7" t="n"/>
      <c r="AA10" s="7" t="n"/>
      <c r="AB10" s="8">
        <f>SUM(D10:O10)</f>
        <v/>
      </c>
      <c r="AC10" s="8">
        <f>SUM(P10:AA10)</f>
        <v/>
      </c>
      <c r="AD10" s="26" t="inlineStr">
        <is>
          <t>https://statis.moi.gov.tw/micst/webMain.aspx?k=menume</t>
        </is>
      </c>
      <c r="AE10" s="9" t="inlineStr">
        <is>
          <t>Monthly - 1 month lag</t>
        </is>
      </c>
    </row>
    <row r="11">
      <c r="A11" s="14" t="inlineStr">
        <is>
          <t>SOUTHEAST ASIA</t>
        </is>
      </c>
    </row>
    <row r="12">
      <c r="A12" s="3" t="inlineStr">
        <is>
          <t>MYS</t>
        </is>
      </c>
      <c r="B12" s="4" t="inlineStr">
        <is>
          <t>Malaysia</t>
        </is>
      </c>
      <c r="C12" s="5" t="inlineStr">
        <is>
          <t>Southeast Asia</t>
        </is>
      </c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8" t="n"/>
      <c r="AC12" s="8" t="n"/>
      <c r="AD12" s="9" t="n"/>
      <c r="AE12" s="9" t="n"/>
    </row>
    <row r="13">
      <c r="A13" s="3" t="inlineStr">
        <is>
          <t>PHL</t>
        </is>
      </c>
      <c r="B13" s="4" t="inlineStr">
        <is>
          <t>Philippines</t>
        </is>
      </c>
      <c r="C13" s="5" t="inlineStr">
        <is>
          <t>Southeast Asia</t>
        </is>
      </c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8" t="n"/>
      <c r="AC13" s="8" t="n"/>
      <c r="AD13" s="9" t="n"/>
      <c r="AE13" s="9" t="n"/>
    </row>
    <row r="14">
      <c r="A14" s="3" t="inlineStr">
        <is>
          <t>SGP</t>
        </is>
      </c>
      <c r="B14" s="4" t="inlineStr">
        <is>
          <t>Singapore</t>
        </is>
      </c>
      <c r="C14" s="5" t="inlineStr">
        <is>
          <t>Southeast Asia</t>
        </is>
      </c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8" t="n"/>
      <c r="AC14" s="8" t="n"/>
      <c r="AD14" s="9" t="n"/>
      <c r="AE14" s="9" t="n"/>
    </row>
    <row r="15">
      <c r="A15" s="3" t="inlineStr">
        <is>
          <t>THA</t>
        </is>
      </c>
      <c r="B15" s="4" t="inlineStr">
        <is>
          <t>Thailand</t>
        </is>
      </c>
      <c r="C15" s="5" t="inlineStr">
        <is>
          <t>Southeast Asia</t>
        </is>
      </c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8" t="n"/>
      <c r="AC15" s="8" t="n"/>
      <c r="AD15" s="9" t="n"/>
      <c r="AE15" s="9" t="n"/>
    </row>
    <row r="16">
      <c r="A16" s="3" t="inlineStr">
        <is>
          <t>VNM</t>
        </is>
      </c>
      <c r="B16" s="4" t="inlineStr">
        <is>
          <t>Vietnam</t>
        </is>
      </c>
      <c r="C16" s="5" t="inlineStr">
        <is>
          <t>Southeast Asia</t>
        </is>
      </c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8" t="n"/>
      <c r="AC16" s="8" t="n"/>
      <c r="AD16" s="9" t="n"/>
      <c r="AE16" s="9" t="n"/>
    </row>
    <row r="17">
      <c r="A17" s="14" t="inlineStr">
        <is>
          <t>SOUTH ASIA</t>
        </is>
      </c>
    </row>
    <row r="18">
      <c r="A18" s="3" t="inlineStr">
        <is>
          <t>BGD</t>
        </is>
      </c>
      <c r="B18" s="4" t="inlineStr">
        <is>
          <t>Bangladesh</t>
        </is>
      </c>
      <c r="C18" s="5" t="inlineStr">
        <is>
          <t>South Asia</t>
        </is>
      </c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  <c r="AB18" s="8" t="n"/>
      <c r="AC18" s="8" t="n"/>
      <c r="AD18" s="9" t="n"/>
      <c r="AE18" s="9" t="n"/>
    </row>
    <row r="19">
      <c r="A19" s="3" t="inlineStr">
        <is>
          <t>IND</t>
        </is>
      </c>
      <c r="B19" s="4" t="inlineStr">
        <is>
          <t>India</t>
        </is>
      </c>
      <c r="C19" s="5" t="inlineStr">
        <is>
          <t>South Asia</t>
        </is>
      </c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8" t="n"/>
      <c r="AC19" s="8" t="n"/>
      <c r="AD19" s="9" t="n"/>
      <c r="AE19" s="9" t="n"/>
    </row>
    <row r="20">
      <c r="A20" s="3" t="inlineStr">
        <is>
          <t>LKA</t>
        </is>
      </c>
      <c r="B20" s="4" t="inlineStr">
        <is>
          <t>Sri Lanka</t>
        </is>
      </c>
      <c r="C20" s="5" t="inlineStr">
        <is>
          <t>South Asia</t>
        </is>
      </c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8" t="n"/>
      <c r="AC20" s="8" t="n"/>
      <c r="AD20" s="9" t="n"/>
      <c r="AE20" s="9" t="n"/>
    </row>
    <row r="21">
      <c r="A21" s="14" t="inlineStr">
        <is>
          <t>CENTRAL ASIA</t>
        </is>
      </c>
    </row>
    <row r="22">
      <c r="A22" s="3" t="inlineStr">
        <is>
          <t>KAZ</t>
        </is>
      </c>
      <c r="B22" s="4" t="inlineStr">
        <is>
          <t>Kazakhstan</t>
        </is>
      </c>
      <c r="C22" s="5" t="inlineStr">
        <is>
          <t>Central Asia</t>
        </is>
      </c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  <c r="AB22" s="8" t="n"/>
      <c r="AC22" s="8" t="n"/>
      <c r="AD22" s="9" t="n"/>
      <c r="AE22" s="9" t="n"/>
    </row>
    <row r="23">
      <c r="A23" s="3" t="inlineStr">
        <is>
          <t>KGZ</t>
        </is>
      </c>
      <c r="B23" s="4" t="inlineStr">
        <is>
          <t>Kyrgyzstan</t>
        </is>
      </c>
      <c r="C23" s="5" t="inlineStr">
        <is>
          <t>Central Asia</t>
        </is>
      </c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8" t="n"/>
      <c r="AC23" s="8" t="n"/>
      <c r="AD23" s="9" t="n"/>
      <c r="AE23" s="9" t="n"/>
    </row>
    <row r="24">
      <c r="A24" s="3" t="inlineStr">
        <is>
          <t>TJK</t>
        </is>
      </c>
      <c r="B24" s="4" t="inlineStr">
        <is>
          <t>Tajikistan</t>
        </is>
      </c>
      <c r="C24" s="5" t="inlineStr">
        <is>
          <t>Central Asia</t>
        </is>
      </c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8" t="n"/>
      <c r="AC24" s="8" t="n"/>
      <c r="AD24" s="9" t="n"/>
      <c r="AE24" s="9" t="n"/>
    </row>
    <row r="25">
      <c r="A25" s="3" t="inlineStr">
        <is>
          <t>UZB</t>
        </is>
      </c>
      <c r="B25" s="4" t="inlineStr">
        <is>
          <t>Uzbekistan</t>
        </is>
      </c>
      <c r="C25" s="5" t="inlineStr">
        <is>
          <t>Central Asia</t>
        </is>
      </c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8" t="n"/>
      <c r="AC25" s="8" t="n"/>
      <c r="AD25" s="9" t="n"/>
      <c r="AE25" s="9" t="n"/>
    </row>
    <row r="26">
      <c r="A26" s="14" t="inlineStr">
        <is>
          <t>WESTERN &amp; NORTHERN EUROPE</t>
        </is>
      </c>
    </row>
    <row r="27">
      <c r="A27" s="3" t="inlineStr">
        <is>
          <t>AUT</t>
        </is>
      </c>
      <c r="B27" s="4" t="inlineStr">
        <is>
          <t>Austria</t>
        </is>
      </c>
      <c r="C27" s="5" t="inlineStr">
        <is>
          <t>Western &amp; Northern Europe</t>
        </is>
      </c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  <c r="AB27" s="8" t="n"/>
      <c r="AC27" s="8" t="n"/>
      <c r="AD27" s="9" t="n"/>
      <c r="AE27" s="9" t="n"/>
    </row>
    <row r="28">
      <c r="A28" s="3" t="inlineStr">
        <is>
          <t>BEL</t>
        </is>
      </c>
      <c r="B28" s="4" t="inlineStr">
        <is>
          <t>Belgium</t>
        </is>
      </c>
      <c r="C28" s="5" t="inlineStr">
        <is>
          <t>Western &amp; Northern Europe</t>
        </is>
      </c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  <c r="AB28" s="8" t="n"/>
      <c r="AC28" s="8" t="n"/>
      <c r="AD28" s="9" t="n"/>
      <c r="AE28" s="9" t="n"/>
    </row>
    <row r="29">
      <c r="A29" s="3" t="inlineStr">
        <is>
          <t>CYP</t>
        </is>
      </c>
      <c r="B29" s="4" t="inlineStr">
        <is>
          <t>Cyprus</t>
        </is>
      </c>
      <c r="C29" s="5" t="inlineStr">
        <is>
          <t>Western &amp; Northern Europe</t>
        </is>
      </c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8" t="n"/>
      <c r="AC29" s="8" t="n"/>
      <c r="AD29" s="9" t="n"/>
      <c r="AE29" s="9" t="n"/>
    </row>
    <row r="30">
      <c r="A30" s="3" t="inlineStr">
        <is>
          <t>DNK</t>
        </is>
      </c>
      <c r="B30" s="4" t="inlineStr">
        <is>
          <t>Denmark</t>
        </is>
      </c>
      <c r="C30" s="5" t="inlineStr">
        <is>
          <t>Western &amp; Northern Europe</t>
        </is>
      </c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  <c r="AB30" s="8" t="n"/>
      <c r="AC30" s="8" t="n"/>
      <c r="AD30" s="9" t="n"/>
      <c r="AE30" s="9" t="n"/>
    </row>
    <row r="31">
      <c r="A31" s="3" t="inlineStr">
        <is>
          <t>FIN</t>
        </is>
      </c>
      <c r="B31" s="4" t="inlineStr">
        <is>
          <t>Finland</t>
        </is>
      </c>
      <c r="C31" s="5" t="inlineStr">
        <is>
          <t>Western &amp; Northern Europe</t>
        </is>
      </c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  <c r="AB31" s="8" t="n"/>
      <c r="AC31" s="8" t="n"/>
      <c r="AD31" s="9" t="n"/>
      <c r="AE31" s="9" t="n"/>
    </row>
    <row r="32">
      <c r="A32" s="3" t="inlineStr">
        <is>
          <t>FRA</t>
        </is>
      </c>
      <c r="B32" s="4" t="inlineStr">
        <is>
          <t>France</t>
        </is>
      </c>
      <c r="C32" s="5" t="inlineStr">
        <is>
          <t>Western &amp; Northern Europe</t>
        </is>
      </c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  <c r="AB32" s="8" t="n"/>
      <c r="AC32" s="8" t="n"/>
      <c r="AD32" s="9" t="n"/>
      <c r="AE32" s="9" t="n"/>
    </row>
    <row r="33">
      <c r="A33" s="3" t="inlineStr">
        <is>
          <t>DEU</t>
        </is>
      </c>
      <c r="B33" s="4" t="inlineStr">
        <is>
          <t>Germany</t>
        </is>
      </c>
      <c r="C33" s="5" t="inlineStr">
        <is>
          <t>Western &amp; Northern Europe</t>
        </is>
      </c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8" t="n"/>
      <c r="AC33" s="8" t="n"/>
      <c r="AD33" s="9" t="n"/>
      <c r="AE33" s="9" t="n"/>
    </row>
    <row r="34">
      <c r="A34" s="3" t="inlineStr">
        <is>
          <t>GRC</t>
        </is>
      </c>
      <c r="B34" s="4" t="inlineStr">
        <is>
          <t>Greece</t>
        </is>
      </c>
      <c r="C34" s="5" t="inlineStr">
        <is>
          <t>Western &amp; Northern Europe</t>
        </is>
      </c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8" t="n"/>
      <c r="AC34" s="8" t="n"/>
      <c r="AD34" s="9" t="n"/>
      <c r="AE34" s="9" t="n"/>
    </row>
    <row r="35">
      <c r="A35" s="3" t="inlineStr">
        <is>
          <t>ISL</t>
        </is>
      </c>
      <c r="B35" s="4" t="inlineStr">
        <is>
          <t>Iceland</t>
        </is>
      </c>
      <c r="C35" s="5" t="inlineStr">
        <is>
          <t>Western &amp; Northern Europe</t>
        </is>
      </c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8" t="n"/>
      <c r="AC35" s="8" t="n"/>
      <c r="AD35" s="9" t="n"/>
      <c r="AE35" s="9" t="n"/>
    </row>
    <row r="36">
      <c r="A36" s="3" t="inlineStr">
        <is>
          <t>IRL</t>
        </is>
      </c>
      <c r="B36" s="4" t="inlineStr">
        <is>
          <t>Ireland</t>
        </is>
      </c>
      <c r="C36" s="5" t="inlineStr">
        <is>
          <t>Western &amp; Northern Europe</t>
        </is>
      </c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8" t="n"/>
      <c r="AC36" s="8" t="n"/>
      <c r="AD36" s="9" t="n"/>
      <c r="AE36" s="9" t="n"/>
    </row>
    <row r="37">
      <c r="A37" s="3" t="inlineStr">
        <is>
          <t>ITA</t>
        </is>
      </c>
      <c r="B37" s="4" t="inlineStr">
        <is>
          <t>Italy</t>
        </is>
      </c>
      <c r="C37" s="5" t="inlineStr">
        <is>
          <t>Western &amp; Northern Europe</t>
        </is>
      </c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  <c r="AB37" s="8" t="n"/>
      <c r="AC37" s="8" t="n"/>
      <c r="AD37" s="9" t="n"/>
      <c r="AE37" s="9" t="n"/>
    </row>
    <row r="38">
      <c r="A38" s="3" t="inlineStr">
        <is>
          <t>LUX</t>
        </is>
      </c>
      <c r="B38" s="4" t="inlineStr">
        <is>
          <t>Luxembourg</t>
        </is>
      </c>
      <c r="C38" s="5" t="inlineStr">
        <is>
          <t>Western &amp; Northern Europe</t>
        </is>
      </c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  <c r="AA38" s="7" t="n"/>
      <c r="AB38" s="8" t="n"/>
      <c r="AC38" s="8" t="n"/>
      <c r="AD38" s="9" t="n"/>
      <c r="AE38" s="9" t="n"/>
    </row>
    <row r="39">
      <c r="A39" s="3" t="inlineStr">
        <is>
          <t>MLT</t>
        </is>
      </c>
      <c r="B39" s="4" t="inlineStr">
        <is>
          <t>Malta</t>
        </is>
      </c>
      <c r="C39" s="5" t="inlineStr">
        <is>
          <t>Western &amp; Northern Europe</t>
        </is>
      </c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8" t="n"/>
      <c r="AC39" s="8" t="n"/>
      <c r="AD39" s="9" t="n"/>
      <c r="AE39" s="9" t="n"/>
    </row>
    <row r="40">
      <c r="A40" s="3" t="inlineStr">
        <is>
          <t>NLD</t>
        </is>
      </c>
      <c r="B40" s="4" t="inlineStr">
        <is>
          <t>Netherlands</t>
        </is>
      </c>
      <c r="C40" s="5" t="inlineStr">
        <is>
          <t>Western &amp; Northern Europe</t>
        </is>
      </c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8" t="n"/>
      <c r="AC40" s="8" t="n"/>
      <c r="AD40" s="9" t="n"/>
      <c r="AE40" s="9" t="n"/>
    </row>
    <row r="41">
      <c r="A41" s="3" t="inlineStr">
        <is>
          <t>NOR</t>
        </is>
      </c>
      <c r="B41" s="4" t="inlineStr">
        <is>
          <t>Norway</t>
        </is>
      </c>
      <c r="C41" s="5" t="inlineStr">
        <is>
          <t>Western &amp; Northern Europe</t>
        </is>
      </c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8" t="n"/>
      <c r="AC41" s="8" t="n"/>
      <c r="AD41" s="9" t="n"/>
      <c r="AE41" s="9" t="n"/>
    </row>
    <row r="42">
      <c r="A42" s="3" t="inlineStr">
        <is>
          <t>PRT</t>
        </is>
      </c>
      <c r="B42" s="4" t="inlineStr">
        <is>
          <t>Portugal</t>
        </is>
      </c>
      <c r="C42" s="5" t="inlineStr">
        <is>
          <t>Western &amp; Northern Europe</t>
        </is>
      </c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  <c r="AB42" s="8" t="n"/>
      <c r="AC42" s="8" t="n"/>
      <c r="AD42" s="9" t="n"/>
      <c r="AE42" s="9" t="n"/>
    </row>
    <row r="43">
      <c r="A43" s="3" t="inlineStr">
        <is>
          <t>ESP</t>
        </is>
      </c>
      <c r="B43" s="4" t="inlineStr">
        <is>
          <t>Spain</t>
        </is>
      </c>
      <c r="C43" s="5" t="inlineStr">
        <is>
          <t>Western &amp; Northern Europe</t>
        </is>
      </c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  <c r="AB43" s="8" t="n"/>
      <c r="AC43" s="8" t="n"/>
      <c r="AD43" s="9" t="n"/>
      <c r="AE43" s="9" t="n"/>
    </row>
    <row r="44">
      <c r="A44" s="3" t="inlineStr">
        <is>
          <t>SWE</t>
        </is>
      </c>
      <c r="B44" s="4" t="inlineStr">
        <is>
          <t>Sweden</t>
        </is>
      </c>
      <c r="C44" s="5" t="inlineStr">
        <is>
          <t>Western &amp; Northern Europe</t>
        </is>
      </c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  <c r="AB44" s="8" t="n"/>
      <c r="AC44" s="8" t="n"/>
      <c r="AD44" s="9" t="n"/>
      <c r="AE44" s="9" t="n"/>
    </row>
    <row r="45">
      <c r="A45" s="3" t="inlineStr">
        <is>
          <t>CHE</t>
        </is>
      </c>
      <c r="B45" s="4" t="inlineStr">
        <is>
          <t>Switzerland</t>
        </is>
      </c>
      <c r="C45" s="5" t="inlineStr">
        <is>
          <t>Western &amp; Northern Europe</t>
        </is>
      </c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  <c r="AA45" s="7" t="n"/>
      <c r="AB45" s="8" t="n"/>
      <c r="AC45" s="8" t="n"/>
      <c r="AD45" s="9" t="n"/>
      <c r="AE45" s="9" t="n"/>
    </row>
    <row r="46">
      <c r="A46" s="3" t="inlineStr">
        <is>
          <t>GBR</t>
        </is>
      </c>
      <c r="B46" s="4" t="inlineStr">
        <is>
          <t>United Kingdom</t>
        </is>
      </c>
      <c r="C46" s="5" t="inlineStr">
        <is>
          <t>Western &amp; Northern Europe</t>
        </is>
      </c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  <c r="AA46" s="7" t="n"/>
      <c r="AB46" s="8" t="n"/>
      <c r="AC46" s="8" t="n"/>
      <c r="AD46" s="9" t="n"/>
      <c r="AE46" s="9" t="n"/>
    </row>
    <row r="47">
      <c r="A47" s="14" t="inlineStr">
        <is>
          <t>CENTRAL &amp; EASTERN EUROPE</t>
        </is>
      </c>
    </row>
    <row r="48">
      <c r="A48" s="3" t="inlineStr">
        <is>
          <t>ALB</t>
        </is>
      </c>
      <c r="B48" s="4" t="inlineStr">
        <is>
          <t>Albania</t>
        </is>
      </c>
      <c r="C48" s="5" t="inlineStr">
        <is>
          <t>Central &amp; Eastern Europe</t>
        </is>
      </c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  <c r="AA48" s="7" t="n"/>
      <c r="AB48" s="8" t="n"/>
      <c r="AC48" s="8" t="n"/>
      <c r="AD48" s="9" t="n"/>
      <c r="AE48" s="9" t="n"/>
    </row>
    <row r="49">
      <c r="A49" s="3" t="inlineStr">
        <is>
          <t>BLR</t>
        </is>
      </c>
      <c r="B49" s="4" t="inlineStr">
        <is>
          <t>Belarus</t>
        </is>
      </c>
      <c r="C49" s="5" t="inlineStr">
        <is>
          <t>Central &amp; Eastern Europe</t>
        </is>
      </c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  <c r="AA49" s="7" t="n"/>
      <c r="AB49" s="8" t="n"/>
      <c r="AC49" s="8" t="n"/>
      <c r="AD49" s="9" t="n"/>
      <c r="AE49" s="9" t="n"/>
    </row>
    <row r="50">
      <c r="A50" s="3" t="inlineStr">
        <is>
          <t>BIH</t>
        </is>
      </c>
      <c r="B50" s="4" t="inlineStr">
        <is>
          <t>Bosnia &amp; Herz.</t>
        </is>
      </c>
      <c r="C50" s="5" t="inlineStr">
        <is>
          <t>Central &amp; Eastern Europe</t>
        </is>
      </c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  <c r="AA50" s="7" t="n"/>
      <c r="AB50" s="8" t="n"/>
      <c r="AC50" s="8" t="n"/>
      <c r="AD50" s="9" t="n"/>
      <c r="AE50" s="9" t="n"/>
    </row>
    <row r="51">
      <c r="A51" s="3" t="inlineStr">
        <is>
          <t>BGR</t>
        </is>
      </c>
      <c r="B51" s="4" t="inlineStr">
        <is>
          <t>Bulgaria</t>
        </is>
      </c>
      <c r="C51" s="5" t="inlineStr">
        <is>
          <t>Central &amp; Eastern Europe</t>
        </is>
      </c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  <c r="AA51" s="7" t="n"/>
      <c r="AB51" s="8" t="n"/>
      <c r="AC51" s="8" t="n"/>
      <c r="AD51" s="9" t="n"/>
      <c r="AE51" s="9" t="n"/>
    </row>
    <row r="52">
      <c r="A52" s="3" t="inlineStr">
        <is>
          <t>HRV</t>
        </is>
      </c>
      <c r="B52" s="4" t="inlineStr">
        <is>
          <t>Croatia</t>
        </is>
      </c>
      <c r="C52" s="5" t="inlineStr">
        <is>
          <t>Central &amp; Eastern Europe</t>
        </is>
      </c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  <c r="AA52" s="7" t="n"/>
      <c r="AB52" s="8" t="n"/>
      <c r="AC52" s="8" t="n"/>
      <c r="AD52" s="9" t="n"/>
      <c r="AE52" s="9" t="n"/>
    </row>
    <row r="53">
      <c r="A53" s="3" t="inlineStr">
        <is>
          <t>CZE</t>
        </is>
      </c>
      <c r="B53" s="4" t="inlineStr">
        <is>
          <t>Czechia</t>
        </is>
      </c>
      <c r="C53" s="5" t="inlineStr">
        <is>
          <t>Central &amp; Eastern Europe</t>
        </is>
      </c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  <c r="AA53" s="7" t="n"/>
      <c r="AB53" s="8" t="n"/>
      <c r="AC53" s="8" t="n"/>
      <c r="AD53" s="9" t="n"/>
      <c r="AE53" s="9" t="n"/>
    </row>
    <row r="54">
      <c r="A54" s="3" t="inlineStr">
        <is>
          <t>EST</t>
        </is>
      </c>
      <c r="B54" s="4" t="inlineStr">
        <is>
          <t>Estonia</t>
        </is>
      </c>
      <c r="C54" s="5" t="inlineStr">
        <is>
          <t>Central &amp; Eastern Europe</t>
        </is>
      </c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  <c r="AB54" s="8" t="n"/>
      <c r="AC54" s="8" t="n"/>
      <c r="AD54" s="9" t="n"/>
      <c r="AE54" s="9" t="n"/>
    </row>
    <row r="55">
      <c r="A55" s="3" t="inlineStr">
        <is>
          <t>HUN</t>
        </is>
      </c>
      <c r="B55" s="4" t="inlineStr">
        <is>
          <t>Hungary</t>
        </is>
      </c>
      <c r="C55" s="5" t="inlineStr">
        <is>
          <t>Central &amp; Eastern Europe</t>
        </is>
      </c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  <c r="AA55" s="7" t="n"/>
      <c r="AB55" s="8" t="n"/>
      <c r="AC55" s="8" t="n"/>
      <c r="AD55" s="9" t="n"/>
      <c r="AE55" s="9" t="n"/>
    </row>
    <row r="56">
      <c r="A56" s="3" t="inlineStr">
        <is>
          <t>XKX</t>
        </is>
      </c>
      <c r="B56" s="4" t="inlineStr">
        <is>
          <t>Kosovo</t>
        </is>
      </c>
      <c r="C56" s="5" t="inlineStr">
        <is>
          <t>Central &amp; Eastern Europe</t>
        </is>
      </c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  <c r="AA56" s="7" t="n"/>
      <c r="AB56" s="8" t="n"/>
      <c r="AC56" s="8" t="n"/>
      <c r="AD56" s="9" t="n"/>
      <c r="AE56" s="9" t="n"/>
    </row>
    <row r="57">
      <c r="A57" s="3" t="inlineStr">
        <is>
          <t>LVA</t>
        </is>
      </c>
      <c r="B57" s="4" t="inlineStr">
        <is>
          <t>Latvia</t>
        </is>
      </c>
      <c r="C57" s="5" t="inlineStr">
        <is>
          <t>Central &amp; Eastern Europe</t>
        </is>
      </c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  <c r="AA57" s="7" t="n"/>
      <c r="AB57" s="8" t="n"/>
      <c r="AC57" s="8" t="n"/>
      <c r="AD57" s="9" t="n"/>
      <c r="AE57" s="9" t="n"/>
    </row>
    <row r="58">
      <c r="A58" s="3" t="inlineStr">
        <is>
          <t>LTU</t>
        </is>
      </c>
      <c r="B58" s="4" t="inlineStr">
        <is>
          <t>Lithuania</t>
        </is>
      </c>
      <c r="C58" s="5" t="inlineStr">
        <is>
          <t>Central &amp; Eastern Europe</t>
        </is>
      </c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  <c r="AA58" s="7" t="n"/>
      <c r="AB58" s="8" t="n"/>
      <c r="AC58" s="8" t="n"/>
      <c r="AD58" s="9" t="n"/>
      <c r="AE58" s="9" t="n"/>
    </row>
    <row r="59">
      <c r="A59" s="3" t="inlineStr">
        <is>
          <t>MDA</t>
        </is>
      </c>
      <c r="B59" s="4" t="inlineStr">
        <is>
          <t>Moldova</t>
        </is>
      </c>
      <c r="C59" s="5" t="inlineStr">
        <is>
          <t>Central &amp; Eastern Europe</t>
        </is>
      </c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  <c r="AA59" s="7" t="n"/>
      <c r="AB59" s="8" t="n"/>
      <c r="AC59" s="8" t="n"/>
      <c r="AD59" s="9" t="n"/>
      <c r="AE59" s="9" t="n"/>
    </row>
    <row r="60">
      <c r="A60" s="3" t="inlineStr">
        <is>
          <t>MNE</t>
        </is>
      </c>
      <c r="B60" s="4" t="inlineStr">
        <is>
          <t>Montenegro</t>
        </is>
      </c>
      <c r="C60" s="5" t="inlineStr">
        <is>
          <t>Central &amp; Eastern Europe</t>
        </is>
      </c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  <c r="AA60" s="7" t="n"/>
      <c r="AB60" s="8" t="n"/>
      <c r="AC60" s="8" t="n"/>
      <c r="AD60" s="9" t="n"/>
      <c r="AE60" s="9" t="n"/>
    </row>
    <row r="61">
      <c r="A61" s="3" t="inlineStr">
        <is>
          <t>MKD</t>
        </is>
      </c>
      <c r="B61" s="4" t="inlineStr">
        <is>
          <t>North Macedonia</t>
        </is>
      </c>
      <c r="C61" s="5" t="inlineStr">
        <is>
          <t>Central &amp; Eastern Europe</t>
        </is>
      </c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  <c r="AB61" s="8" t="n"/>
      <c r="AC61" s="8" t="n"/>
      <c r="AD61" s="9" t="n"/>
      <c r="AE61" s="9" t="n"/>
    </row>
    <row r="62">
      <c r="A62" s="3" t="inlineStr">
        <is>
          <t>POL</t>
        </is>
      </c>
      <c r="B62" s="4" t="inlineStr">
        <is>
          <t>Poland</t>
        </is>
      </c>
      <c r="C62" s="5" t="inlineStr">
        <is>
          <t>Central &amp; Eastern Europe</t>
        </is>
      </c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  <c r="AA62" s="7" t="n"/>
      <c r="AB62" s="8" t="n"/>
      <c r="AC62" s="8" t="n"/>
      <c r="AD62" s="9" t="n"/>
      <c r="AE62" s="9" t="n"/>
    </row>
    <row r="63">
      <c r="A63" s="3" t="inlineStr">
        <is>
          <t>ROU</t>
        </is>
      </c>
      <c r="B63" s="4" t="inlineStr">
        <is>
          <t>Romania</t>
        </is>
      </c>
      <c r="C63" s="5" t="inlineStr">
        <is>
          <t>Central &amp; Eastern Europe</t>
        </is>
      </c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  <c r="AA63" s="7" t="n"/>
      <c r="AB63" s="8" t="n"/>
      <c r="AC63" s="8" t="n"/>
      <c r="AD63" s="9" t="n"/>
      <c r="AE63" s="9" t="n"/>
    </row>
    <row r="64">
      <c r="A64" s="3" t="inlineStr">
        <is>
          <t>RUS</t>
        </is>
      </c>
      <c r="B64" s="4" t="inlineStr">
        <is>
          <t>Russia</t>
        </is>
      </c>
      <c r="C64" s="5" t="inlineStr">
        <is>
          <t>Central &amp; Eastern Europe</t>
        </is>
      </c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  <c r="AA64" s="7" t="n"/>
      <c r="AB64" s="8" t="n"/>
      <c r="AC64" s="8" t="n"/>
      <c r="AD64" s="9" t="n"/>
      <c r="AE64" s="9" t="n"/>
    </row>
    <row r="65">
      <c r="A65" s="3" t="inlineStr">
        <is>
          <t>SRB</t>
        </is>
      </c>
      <c r="B65" s="4" t="inlineStr">
        <is>
          <t>Serbia</t>
        </is>
      </c>
      <c r="C65" s="5" t="inlineStr">
        <is>
          <t>Central &amp; Eastern Europe</t>
        </is>
      </c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  <c r="AA65" s="7" t="n"/>
      <c r="AB65" s="8" t="n"/>
      <c r="AC65" s="8" t="n"/>
      <c r="AD65" s="9" t="n"/>
      <c r="AE65" s="9" t="n"/>
    </row>
    <row r="66">
      <c r="A66" s="3" t="inlineStr">
        <is>
          <t>SVK</t>
        </is>
      </c>
      <c r="B66" s="4" t="inlineStr">
        <is>
          <t>Slovakia</t>
        </is>
      </c>
      <c r="C66" s="5" t="inlineStr">
        <is>
          <t>Central &amp; Eastern Europe</t>
        </is>
      </c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  <c r="AA66" s="7" t="n"/>
      <c r="AB66" s="8" t="n"/>
      <c r="AC66" s="8" t="n"/>
      <c r="AD66" s="9" t="n"/>
      <c r="AE66" s="9" t="n"/>
    </row>
    <row r="67">
      <c r="A67" s="3" t="inlineStr">
        <is>
          <t>SVN</t>
        </is>
      </c>
      <c r="B67" s="4" t="inlineStr">
        <is>
          <t>Slovenia</t>
        </is>
      </c>
      <c r="C67" s="5" t="inlineStr">
        <is>
          <t>Central &amp; Eastern Europe</t>
        </is>
      </c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  <c r="AA67" s="7" t="n"/>
      <c r="AB67" s="8" t="n"/>
      <c r="AC67" s="8" t="n"/>
      <c r="AD67" s="9" t="n"/>
      <c r="AE67" s="9" t="n"/>
    </row>
    <row r="68">
      <c r="A68" s="3" t="inlineStr">
        <is>
          <t>UKR</t>
        </is>
      </c>
      <c r="B68" s="4" t="inlineStr">
        <is>
          <t>Ukraine</t>
        </is>
      </c>
      <c r="C68" s="5" t="inlineStr">
        <is>
          <t>Central &amp; Eastern Europe</t>
        </is>
      </c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  <c r="AA68" s="7" t="n"/>
      <c r="AB68" s="8" t="n"/>
      <c r="AC68" s="8" t="n"/>
      <c r="AD68" s="9" t="n"/>
      <c r="AE68" s="9" t="n"/>
    </row>
    <row r="69">
      <c r="A69" s="14" t="inlineStr">
        <is>
          <t>NORTH AMERICA</t>
        </is>
      </c>
    </row>
    <row r="70">
      <c r="A70" s="3" t="inlineStr">
        <is>
          <t>CAN</t>
        </is>
      </c>
      <c r="B70" s="4" t="inlineStr">
        <is>
          <t>Canada</t>
        </is>
      </c>
      <c r="C70" s="5" t="inlineStr">
        <is>
          <t>North America</t>
        </is>
      </c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  <c r="AA70" s="7" t="n"/>
      <c r="AB70" s="8" t="n"/>
      <c r="AC70" s="8" t="n"/>
      <c r="AD70" s="9" t="n"/>
      <c r="AE70" s="9" t="n"/>
    </row>
    <row r="71">
      <c r="A71" s="3" t="inlineStr">
        <is>
          <t>USA</t>
        </is>
      </c>
      <c r="B71" s="4" t="inlineStr">
        <is>
          <t>United States</t>
        </is>
      </c>
      <c r="C71" s="5" t="inlineStr">
        <is>
          <t>North America</t>
        </is>
      </c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  <c r="AA71" s="7" t="n"/>
      <c r="AB71" s="8" t="n"/>
      <c r="AC71" s="8" t="n"/>
      <c r="AD71" s="9" t="n"/>
      <c r="AE71" s="9" t="n"/>
    </row>
    <row r="72">
      <c r="A72" s="14" t="inlineStr">
        <is>
          <t>LATIN AMERICA &amp; CARIBBEAN</t>
        </is>
      </c>
    </row>
    <row r="73">
      <c r="A73" s="3" t="inlineStr">
        <is>
          <t>ARG</t>
        </is>
      </c>
      <c r="B73" s="4" t="inlineStr">
        <is>
          <t>Argentina</t>
        </is>
      </c>
      <c r="C73" s="5" t="inlineStr">
        <is>
          <t>Latin America &amp; Caribbean</t>
        </is>
      </c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  <c r="AA73" s="7" t="n"/>
      <c r="AB73" s="8" t="n"/>
      <c r="AC73" s="8" t="n"/>
      <c r="AD73" s="9" t="n"/>
      <c r="AE73" s="9" t="n"/>
    </row>
    <row r="74">
      <c r="A74" s="3" t="inlineStr">
        <is>
          <t>BLZ</t>
        </is>
      </c>
      <c r="B74" s="4" t="inlineStr">
        <is>
          <t>Belize</t>
        </is>
      </c>
      <c r="C74" s="5" t="inlineStr">
        <is>
          <t>Latin America &amp; Caribbean</t>
        </is>
      </c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  <c r="AA74" s="7" t="n"/>
      <c r="AB74" s="8" t="n"/>
      <c r="AC74" s="8" t="n"/>
      <c r="AD74" s="9" t="n"/>
      <c r="AE74" s="9" t="n"/>
    </row>
    <row r="75">
      <c r="A75" s="3" t="inlineStr">
        <is>
          <t>BOL</t>
        </is>
      </c>
      <c r="B75" s="4" t="inlineStr">
        <is>
          <t>Bolivia</t>
        </is>
      </c>
      <c r="C75" s="5" t="inlineStr">
        <is>
          <t>Latin America &amp; Caribbean</t>
        </is>
      </c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  <c r="AB75" s="8" t="n"/>
      <c r="AC75" s="8" t="n"/>
      <c r="AD75" s="9" t="n"/>
      <c r="AE75" s="9" t="n"/>
    </row>
    <row r="76">
      <c r="A76" s="3" t="inlineStr">
        <is>
          <t>BRA</t>
        </is>
      </c>
      <c r="B76" s="4" t="inlineStr">
        <is>
          <t>Brazil</t>
        </is>
      </c>
      <c r="C76" s="5" t="inlineStr">
        <is>
          <t>Latin America &amp; Caribbean</t>
        </is>
      </c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  <c r="AA76" s="7" t="n"/>
      <c r="AB76" s="8" t="n"/>
      <c r="AC76" s="8" t="n"/>
      <c r="AD76" s="9" t="n"/>
      <c r="AE76" s="9" t="n"/>
    </row>
    <row r="77">
      <c r="A77" s="3" t="inlineStr">
        <is>
          <t>CHL</t>
        </is>
      </c>
      <c r="B77" s="4" t="inlineStr">
        <is>
          <t>Chile</t>
        </is>
      </c>
      <c r="C77" s="5" t="inlineStr">
        <is>
          <t>Latin America &amp; Caribbean</t>
        </is>
      </c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  <c r="AA77" s="7" t="n"/>
      <c r="AB77" s="8" t="n"/>
      <c r="AC77" s="8" t="n"/>
      <c r="AD77" s="9" t="n"/>
      <c r="AE77" s="9" t="n"/>
    </row>
    <row r="78">
      <c r="A78" s="3" t="inlineStr">
        <is>
          <t>COL</t>
        </is>
      </c>
      <c r="B78" s="4" t="inlineStr">
        <is>
          <t>Colombia</t>
        </is>
      </c>
      <c r="C78" s="5" t="inlineStr">
        <is>
          <t>Latin America &amp; Caribbean</t>
        </is>
      </c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  <c r="AA78" s="7" t="n"/>
      <c r="AB78" s="8" t="n"/>
      <c r="AC78" s="8" t="n"/>
      <c r="AD78" s="9" t="n"/>
      <c r="AE78" s="9" t="n"/>
    </row>
    <row r="79">
      <c r="A79" s="3" t="inlineStr">
        <is>
          <t>CRI</t>
        </is>
      </c>
      <c r="B79" s="4" t="inlineStr">
        <is>
          <t>Costa Rica</t>
        </is>
      </c>
      <c r="C79" s="5" t="inlineStr">
        <is>
          <t>Latin America &amp; Caribbean</t>
        </is>
      </c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  <c r="AA79" s="7" t="n"/>
      <c r="AB79" s="8" t="n"/>
      <c r="AC79" s="8" t="n"/>
      <c r="AD79" s="9" t="n"/>
      <c r="AE79" s="9" t="n"/>
    </row>
    <row r="80">
      <c r="A80" s="3" t="inlineStr">
        <is>
          <t>CUB</t>
        </is>
      </c>
      <c r="B80" s="4" t="inlineStr">
        <is>
          <t>Cuba</t>
        </is>
      </c>
      <c r="C80" s="5" t="inlineStr">
        <is>
          <t>Latin America &amp; Caribbean</t>
        </is>
      </c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  <c r="AA80" s="7" t="n"/>
      <c r="AB80" s="8" t="n"/>
      <c r="AC80" s="8" t="n"/>
      <c r="AD80" s="9" t="n"/>
      <c r="AE80" s="9" t="n"/>
    </row>
    <row r="81">
      <c r="A81" s="3" t="inlineStr">
        <is>
          <t>DOM</t>
        </is>
      </c>
      <c r="B81" s="4" t="inlineStr">
        <is>
          <t>Dominican Rep.</t>
        </is>
      </c>
      <c r="C81" s="5" t="inlineStr">
        <is>
          <t>Latin America &amp; Caribbean</t>
        </is>
      </c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  <c r="AA81" s="7" t="n"/>
      <c r="AB81" s="8" t="n"/>
      <c r="AC81" s="8" t="n"/>
      <c r="AD81" s="9" t="n"/>
      <c r="AE81" s="9" t="n"/>
    </row>
    <row r="82">
      <c r="A82" s="3" t="inlineStr">
        <is>
          <t>ECU</t>
        </is>
      </c>
      <c r="B82" s="4" t="inlineStr">
        <is>
          <t>Ecuador</t>
        </is>
      </c>
      <c r="C82" s="5" t="inlineStr">
        <is>
          <t>Latin America &amp; Caribbean</t>
        </is>
      </c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  <c r="AB82" s="8" t="n"/>
      <c r="AC82" s="8" t="n"/>
      <c r="AD82" s="9" t="n"/>
      <c r="AE82" s="9" t="n"/>
    </row>
    <row r="83">
      <c r="A83" s="3" t="inlineStr">
        <is>
          <t>GTM</t>
        </is>
      </c>
      <c r="B83" s="4" t="inlineStr">
        <is>
          <t>Guatemala</t>
        </is>
      </c>
      <c r="C83" s="5" t="inlineStr">
        <is>
          <t>Latin America &amp; Caribbean</t>
        </is>
      </c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  <c r="AA83" s="7" t="n"/>
      <c r="AB83" s="8" t="n"/>
      <c r="AC83" s="8" t="n"/>
      <c r="AD83" s="9" t="n"/>
      <c r="AE83" s="9" t="n"/>
    </row>
    <row r="84">
      <c r="A84" s="3" t="inlineStr">
        <is>
          <t>HND</t>
        </is>
      </c>
      <c r="B84" s="4" t="inlineStr">
        <is>
          <t>Honduras</t>
        </is>
      </c>
      <c r="C84" s="5" t="inlineStr">
        <is>
          <t>Latin America &amp; Caribbean</t>
        </is>
      </c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  <c r="AA84" s="7" t="n"/>
      <c r="AB84" s="8" t="n"/>
      <c r="AC84" s="8" t="n"/>
      <c r="AD84" s="9" t="n"/>
      <c r="AE84" s="9" t="n"/>
    </row>
    <row r="85">
      <c r="A85" s="3" t="inlineStr">
        <is>
          <t>JAM</t>
        </is>
      </c>
      <c r="B85" s="4" t="inlineStr">
        <is>
          <t>Jamaica</t>
        </is>
      </c>
      <c r="C85" s="5" t="inlineStr">
        <is>
          <t>Latin America &amp; Caribbean</t>
        </is>
      </c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  <c r="AA85" s="7" t="n"/>
      <c r="AB85" s="8" t="n"/>
      <c r="AC85" s="8" t="n"/>
      <c r="AD85" s="9" t="n"/>
      <c r="AE85" s="9" t="n"/>
    </row>
    <row r="86">
      <c r="A86" s="3" t="inlineStr">
        <is>
          <t>MEX</t>
        </is>
      </c>
      <c r="B86" s="4" t="inlineStr">
        <is>
          <t>Mexico</t>
        </is>
      </c>
      <c r="C86" s="5" t="inlineStr">
        <is>
          <t>Latin America &amp; Caribbean</t>
        </is>
      </c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  <c r="AA86" s="7" t="n"/>
      <c r="AB86" s="8" t="n"/>
      <c r="AC86" s="8" t="n"/>
      <c r="AD86" s="9" t="n"/>
      <c r="AE86" s="9" t="n"/>
    </row>
    <row r="87">
      <c r="A87" s="3" t="inlineStr">
        <is>
          <t>NIC</t>
        </is>
      </c>
      <c r="B87" s="4" t="inlineStr">
        <is>
          <t>Nicaragua</t>
        </is>
      </c>
      <c r="C87" s="5" t="inlineStr">
        <is>
          <t>Latin America &amp; Caribbean</t>
        </is>
      </c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  <c r="AA87" s="7" t="n"/>
      <c r="AB87" s="8" t="n"/>
      <c r="AC87" s="8" t="n"/>
      <c r="AD87" s="9" t="n"/>
      <c r="AE87" s="9" t="n"/>
    </row>
    <row r="88">
      <c r="A88" s="3" t="inlineStr">
        <is>
          <t>PAN</t>
        </is>
      </c>
      <c r="B88" s="4" t="inlineStr">
        <is>
          <t>Panama</t>
        </is>
      </c>
      <c r="C88" s="5" t="inlineStr">
        <is>
          <t>Latin America &amp; Caribbean</t>
        </is>
      </c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  <c r="AA88" s="7" t="n"/>
      <c r="AB88" s="8" t="n"/>
      <c r="AC88" s="8" t="n"/>
      <c r="AD88" s="9" t="n"/>
      <c r="AE88" s="9" t="n"/>
    </row>
    <row r="89">
      <c r="A89" s="3" t="inlineStr">
        <is>
          <t>PRY</t>
        </is>
      </c>
      <c r="B89" s="4" t="inlineStr">
        <is>
          <t>Paraguay</t>
        </is>
      </c>
      <c r="C89" s="5" t="inlineStr">
        <is>
          <t>Latin America &amp; Caribbean</t>
        </is>
      </c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  <c r="AA89" s="7" t="n"/>
      <c r="AB89" s="8" t="n"/>
      <c r="AC89" s="8" t="n"/>
      <c r="AD89" s="9" t="n"/>
      <c r="AE89" s="9" t="n"/>
    </row>
    <row r="90">
      <c r="A90" s="3" t="inlineStr">
        <is>
          <t>PER</t>
        </is>
      </c>
      <c r="B90" s="4" t="inlineStr">
        <is>
          <t>Peru</t>
        </is>
      </c>
      <c r="C90" s="5" t="inlineStr">
        <is>
          <t>Latin America &amp; Caribbean</t>
        </is>
      </c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  <c r="AA90" s="7" t="n"/>
      <c r="AB90" s="8" t="n"/>
      <c r="AC90" s="8" t="n"/>
      <c r="AD90" s="9" t="n"/>
      <c r="AE90" s="9" t="n"/>
    </row>
    <row r="91">
      <c r="A91" s="3" t="inlineStr">
        <is>
          <t>PRI</t>
        </is>
      </c>
      <c r="B91" s="4" t="inlineStr">
        <is>
          <t>Puerto Rico</t>
        </is>
      </c>
      <c r="C91" s="5" t="inlineStr">
        <is>
          <t>Latin America &amp; Caribbean</t>
        </is>
      </c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  <c r="AA91" s="7" t="n"/>
      <c r="AB91" s="8" t="n"/>
      <c r="AC91" s="8" t="n"/>
      <c r="AD91" s="9" t="n"/>
      <c r="AE91" s="9" t="n"/>
    </row>
    <row r="92">
      <c r="A92" s="3" t="inlineStr">
        <is>
          <t>SUR</t>
        </is>
      </c>
      <c r="B92" s="4" t="inlineStr">
        <is>
          <t>Suriname</t>
        </is>
      </c>
      <c r="C92" s="5" t="inlineStr">
        <is>
          <t>Latin America &amp; Caribbean</t>
        </is>
      </c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  <c r="AA92" s="7" t="n"/>
      <c r="AB92" s="8" t="n"/>
      <c r="AC92" s="8" t="n"/>
      <c r="AD92" s="9" t="n"/>
      <c r="AE92" s="9" t="n"/>
    </row>
    <row r="93">
      <c r="A93" s="3" t="inlineStr">
        <is>
          <t>URY</t>
        </is>
      </c>
      <c r="B93" s="4" t="inlineStr">
        <is>
          <t>Uruguay</t>
        </is>
      </c>
      <c r="C93" s="5" t="inlineStr">
        <is>
          <t>Latin America &amp; Caribbean</t>
        </is>
      </c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  <c r="AA93" s="7" t="n"/>
      <c r="AB93" s="8" t="n"/>
      <c r="AC93" s="8" t="n"/>
      <c r="AD93" s="9" t="n"/>
      <c r="AE93" s="9" t="n"/>
    </row>
    <row r="94">
      <c r="A94" s="3" t="inlineStr">
        <is>
          <t>VEN</t>
        </is>
      </c>
      <c r="B94" s="4" t="inlineStr">
        <is>
          <t>Venezuela</t>
        </is>
      </c>
      <c r="C94" s="5" t="inlineStr">
        <is>
          <t>Latin America &amp; Caribbean</t>
        </is>
      </c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  <c r="AA94" s="7" t="n"/>
      <c r="AB94" s="8" t="n"/>
      <c r="AC94" s="8" t="n"/>
      <c r="AD94" s="9" t="n"/>
      <c r="AE94" s="9" t="n"/>
    </row>
    <row r="95">
      <c r="A95" s="14" t="inlineStr">
        <is>
          <t>CAUCASUS &amp; TÜRKIYE</t>
        </is>
      </c>
    </row>
    <row r="96">
      <c r="A96" s="3" t="inlineStr">
        <is>
          <t>ARM</t>
        </is>
      </c>
      <c r="B96" s="4" t="inlineStr">
        <is>
          <t>Armenia</t>
        </is>
      </c>
      <c r="C96" s="5" t="inlineStr">
        <is>
          <t>Caucasus &amp; Türkiye</t>
        </is>
      </c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  <c r="AA96" s="7" t="n"/>
      <c r="AB96" s="8" t="n"/>
      <c r="AC96" s="8" t="n"/>
      <c r="AD96" s="9" t="n"/>
      <c r="AE96" s="9" t="n"/>
    </row>
    <row r="97">
      <c r="A97" s="3" t="inlineStr">
        <is>
          <t>AZE</t>
        </is>
      </c>
      <c r="B97" s="4" t="inlineStr">
        <is>
          <t>Azerbaijan</t>
        </is>
      </c>
      <c r="C97" s="5" t="inlineStr">
        <is>
          <t>Caucasus &amp; Türkiye</t>
        </is>
      </c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  <c r="AA97" s="7" t="n"/>
      <c r="AB97" s="8" t="n"/>
      <c r="AC97" s="8" t="n"/>
      <c r="AD97" s="9" t="n"/>
      <c r="AE97" s="9" t="n"/>
    </row>
    <row r="98">
      <c r="A98" s="3" t="inlineStr">
        <is>
          <t>GEO</t>
        </is>
      </c>
      <c r="B98" s="4" t="inlineStr">
        <is>
          <t>Georgia</t>
        </is>
      </c>
      <c r="C98" s="5" t="inlineStr">
        <is>
          <t>Caucasus &amp; Türkiye</t>
        </is>
      </c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  <c r="AA98" s="7" t="n"/>
      <c r="AB98" s="8" t="n"/>
      <c r="AC98" s="8" t="n"/>
      <c r="AD98" s="9" t="n"/>
      <c r="AE98" s="9" t="n"/>
    </row>
    <row r="99">
      <c r="A99" s="3" t="inlineStr">
        <is>
          <t>TUR</t>
        </is>
      </c>
      <c r="B99" s="4" t="inlineStr">
        <is>
          <t>Turkey</t>
        </is>
      </c>
      <c r="C99" s="5" t="inlineStr">
        <is>
          <t>Caucasus &amp; Türkiye</t>
        </is>
      </c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  <c r="AA99" s="7" t="n"/>
      <c r="AB99" s="8" t="n"/>
      <c r="AC99" s="8" t="n"/>
      <c r="AD99" s="9" t="n"/>
      <c r="AE99" s="9" t="n"/>
    </row>
    <row r="100">
      <c r="A100" s="14" t="inlineStr">
        <is>
          <t>MIDDLE EAST &amp; NORTH AFRICA</t>
        </is>
      </c>
    </row>
    <row r="101">
      <c r="A101" s="3" t="inlineStr">
        <is>
          <t>DZA</t>
        </is>
      </c>
      <c r="B101" s="4" t="inlineStr">
        <is>
          <t>Algeria</t>
        </is>
      </c>
      <c r="C101" s="5" t="inlineStr">
        <is>
          <t>Middle East &amp; North Africa</t>
        </is>
      </c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  <c r="AA101" s="7" t="n"/>
      <c r="AB101" s="8" t="n"/>
      <c r="AC101" s="8" t="n"/>
      <c r="AD101" s="9" t="n"/>
      <c r="AE101" s="9" t="n"/>
    </row>
    <row r="102">
      <c r="A102" s="3" t="inlineStr">
        <is>
          <t>EGY</t>
        </is>
      </c>
      <c r="B102" s="4" t="inlineStr">
        <is>
          <t>Egypt</t>
        </is>
      </c>
      <c r="C102" s="5" t="inlineStr">
        <is>
          <t>Middle East &amp; North Africa</t>
        </is>
      </c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  <c r="AA102" s="7" t="n"/>
      <c r="AB102" s="8" t="n"/>
      <c r="AC102" s="8" t="n"/>
      <c r="AD102" s="9" t="n"/>
      <c r="AE102" s="9" t="n"/>
    </row>
    <row r="103">
      <c r="A103" s="3" t="inlineStr">
        <is>
          <t>IRN</t>
        </is>
      </c>
      <c r="B103" s="4" t="inlineStr">
        <is>
          <t>Iran</t>
        </is>
      </c>
      <c r="C103" s="5" t="inlineStr">
        <is>
          <t>Middle East &amp; North Africa</t>
        </is>
      </c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  <c r="AA103" s="7" t="n"/>
      <c r="AB103" s="8" t="n"/>
      <c r="AC103" s="8" t="n"/>
      <c r="AD103" s="9" t="n"/>
      <c r="AE103" s="9" t="n"/>
    </row>
    <row r="104">
      <c r="A104" s="3" t="inlineStr">
        <is>
          <t>IRQ</t>
        </is>
      </c>
      <c r="B104" s="4" t="inlineStr">
        <is>
          <t>Iraq</t>
        </is>
      </c>
      <c r="C104" s="5" t="inlineStr">
        <is>
          <t>Middle East &amp; North Africa</t>
        </is>
      </c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  <c r="AA104" s="7" t="n"/>
      <c r="AB104" s="8" t="n"/>
      <c r="AC104" s="8" t="n"/>
      <c r="AD104" s="9" t="n"/>
      <c r="AE104" s="9" t="n"/>
    </row>
    <row r="105">
      <c r="A105" s="3" t="inlineStr">
        <is>
          <t>ISR</t>
        </is>
      </c>
      <c r="B105" s="4" t="inlineStr">
        <is>
          <t>Israel</t>
        </is>
      </c>
      <c r="C105" s="5" t="inlineStr">
        <is>
          <t>Middle East &amp; North Africa</t>
        </is>
      </c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  <c r="AA105" s="7" t="n"/>
      <c r="AB105" s="8" t="n"/>
      <c r="AC105" s="8" t="n"/>
      <c r="AD105" s="9" t="n"/>
      <c r="AE105" s="9" t="n"/>
    </row>
    <row r="106">
      <c r="A106" s="3" t="inlineStr">
        <is>
          <t>JOR</t>
        </is>
      </c>
      <c r="B106" s="4" t="inlineStr">
        <is>
          <t>Jordan</t>
        </is>
      </c>
      <c r="C106" s="5" t="inlineStr">
        <is>
          <t>Middle East &amp; North Africa</t>
        </is>
      </c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  <c r="AA106" s="7" t="n"/>
      <c r="AB106" s="8" t="n"/>
      <c r="AC106" s="8" t="n"/>
      <c r="AD106" s="9" t="n"/>
      <c r="AE106" s="9" t="n"/>
    </row>
    <row r="107">
      <c r="A107" s="3" t="inlineStr">
        <is>
          <t>PSE</t>
        </is>
      </c>
      <c r="B107" s="4" t="inlineStr">
        <is>
          <t>Palestine</t>
        </is>
      </c>
      <c r="C107" s="5" t="inlineStr">
        <is>
          <t>Middle East &amp; North Africa</t>
        </is>
      </c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  <c r="AA107" s="7" t="n"/>
      <c r="AB107" s="8" t="n"/>
      <c r="AC107" s="8" t="n"/>
      <c r="AD107" s="9" t="n"/>
      <c r="AE107" s="9" t="n"/>
    </row>
    <row r="108">
      <c r="A108" s="3" t="inlineStr">
        <is>
          <t>TUN</t>
        </is>
      </c>
      <c r="B108" s="4" t="inlineStr">
        <is>
          <t>Tunisia</t>
        </is>
      </c>
      <c r="C108" s="5" t="inlineStr">
        <is>
          <t>Middle East &amp; North Africa</t>
        </is>
      </c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  <c r="AA108" s="7" t="n"/>
      <c r="AB108" s="8" t="n"/>
      <c r="AC108" s="8" t="n"/>
      <c r="AD108" s="9" t="n"/>
      <c r="AE108" s="9" t="n"/>
    </row>
    <row r="109">
      <c r="A109" s="14" t="inlineStr">
        <is>
          <t>GULF (NATIONALS)</t>
        </is>
      </c>
    </row>
    <row r="110">
      <c r="A110" s="3" t="inlineStr">
        <is>
          <t>BHR</t>
        </is>
      </c>
      <c r="B110" s="4" t="inlineStr">
        <is>
          <t>Bahrain</t>
        </is>
      </c>
      <c r="C110" s="5" t="inlineStr">
        <is>
          <t>Gulf (nationals)</t>
        </is>
      </c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  <c r="AA110" s="7" t="n"/>
      <c r="AB110" s="8" t="n"/>
      <c r="AC110" s="8" t="n"/>
      <c r="AD110" s="9" t="n"/>
      <c r="AE110" s="9" t="n"/>
    </row>
    <row r="111">
      <c r="A111" s="3" t="inlineStr">
        <is>
          <t>KWT</t>
        </is>
      </c>
      <c r="B111" s="4" t="inlineStr">
        <is>
          <t>Kuwait</t>
        </is>
      </c>
      <c r="C111" s="5" t="inlineStr">
        <is>
          <t>Gulf (nationals)</t>
        </is>
      </c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  <c r="AA111" s="7" t="n"/>
      <c r="AB111" s="8" t="n"/>
      <c r="AC111" s="8" t="n"/>
      <c r="AD111" s="9" t="n"/>
      <c r="AE111" s="9" t="n"/>
    </row>
    <row r="112">
      <c r="A112" s="3" t="inlineStr">
        <is>
          <t>OMN</t>
        </is>
      </c>
      <c r="B112" s="4" t="inlineStr">
        <is>
          <t>Oman</t>
        </is>
      </c>
      <c r="C112" s="5" t="inlineStr">
        <is>
          <t>Gulf (nationals)</t>
        </is>
      </c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  <c r="AA112" s="7" t="n"/>
      <c r="AB112" s="8" t="n"/>
      <c r="AC112" s="8" t="n"/>
      <c r="AD112" s="9" t="n"/>
      <c r="AE112" s="9" t="n"/>
    </row>
    <row r="113">
      <c r="A113" s="3" t="inlineStr">
        <is>
          <t>QAT</t>
        </is>
      </c>
      <c r="B113" s="4" t="inlineStr">
        <is>
          <t>Qatar</t>
        </is>
      </c>
      <c r="C113" s="5" t="inlineStr">
        <is>
          <t>Gulf (nationals)</t>
        </is>
      </c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  <c r="AA113" s="7" t="n"/>
      <c r="AB113" s="8" t="n"/>
      <c r="AC113" s="8" t="n"/>
      <c r="AD113" s="9" t="n"/>
      <c r="AE113" s="9" t="n"/>
    </row>
    <row r="114">
      <c r="A114" s="3" t="inlineStr">
        <is>
          <t>SAU</t>
        </is>
      </c>
      <c r="B114" s="4" t="inlineStr">
        <is>
          <t>Saudi Arabia</t>
        </is>
      </c>
      <c r="C114" s="5" t="inlineStr">
        <is>
          <t>Gulf (nationals)</t>
        </is>
      </c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  <c r="AA114" s="7" t="n"/>
      <c r="AB114" s="8" t="n"/>
      <c r="AC114" s="8" t="n"/>
      <c r="AD114" s="9" t="n"/>
      <c r="AE114" s="9" t="n"/>
    </row>
    <row r="115">
      <c r="A115" s="3" t="inlineStr">
        <is>
          <t>ARE</t>
        </is>
      </c>
      <c r="B115" s="4" t="inlineStr">
        <is>
          <t>U. Arab Emirates</t>
        </is>
      </c>
      <c r="C115" s="5" t="inlineStr">
        <is>
          <t>Gulf (nationals)</t>
        </is>
      </c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  <c r="AA115" s="7" t="n"/>
      <c r="AB115" s="8" t="n"/>
      <c r="AC115" s="8" t="n"/>
      <c r="AD115" s="9" t="n"/>
      <c r="AE115" s="9" t="n"/>
    </row>
    <row r="116">
      <c r="A116" s="14" t="inlineStr">
        <is>
          <t>SUB-SAHARAN AFRICA</t>
        </is>
      </c>
    </row>
    <row r="117">
      <c r="A117" s="3" t="inlineStr">
        <is>
          <t>MUS</t>
        </is>
      </c>
      <c r="B117" s="4" t="inlineStr">
        <is>
          <t>Mauritius</t>
        </is>
      </c>
      <c r="C117" s="5" t="inlineStr">
        <is>
          <t>Sub-Saharan Africa</t>
        </is>
      </c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  <c r="AA117" s="7" t="n"/>
      <c r="AB117" s="8" t="n"/>
      <c r="AC117" s="8" t="n"/>
      <c r="AD117" s="9" t="n"/>
      <c r="AE117" s="9" t="n"/>
    </row>
    <row r="118">
      <c r="A118" s="3" t="inlineStr">
        <is>
          <t>ZAF</t>
        </is>
      </c>
      <c r="B118" s="4" t="inlineStr">
        <is>
          <t>South Africa</t>
        </is>
      </c>
      <c r="C118" s="5" t="inlineStr">
        <is>
          <t>Sub-Saharan Africa</t>
        </is>
      </c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  <c r="AA118" s="7" t="n"/>
      <c r="AB118" s="8" t="n"/>
      <c r="AC118" s="8" t="n"/>
      <c r="AD118" s="9" t="n"/>
      <c r="AE118" s="9" t="n"/>
    </row>
    <row r="119">
      <c r="A119" s="14" t="inlineStr">
        <is>
          <t>OCEANIA</t>
        </is>
      </c>
    </row>
    <row r="120">
      <c r="A120" s="3" t="inlineStr">
        <is>
          <t>AUS</t>
        </is>
      </c>
      <c r="B120" s="4" t="inlineStr">
        <is>
          <t>Australia</t>
        </is>
      </c>
      <c r="C120" s="5" t="inlineStr">
        <is>
          <t>Oceania</t>
        </is>
      </c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  <c r="AA120" s="7" t="n"/>
      <c r="AB120" s="8" t="n"/>
      <c r="AC120" s="8" t="n"/>
      <c r="AD120" s="9" t="n"/>
      <c r="AE120" s="9" t="n"/>
    </row>
    <row r="121">
      <c r="A121" s="3" t="inlineStr">
        <is>
          <t>NZL</t>
        </is>
      </c>
      <c r="B121" s="4" t="inlineStr">
        <is>
          <t>New Zealand</t>
        </is>
      </c>
      <c r="C121" s="5" t="inlineStr">
        <is>
          <t>Oceania</t>
        </is>
      </c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  <c r="AA121" s="7" t="n"/>
      <c r="AB121" s="8" t="n"/>
      <c r="AC121" s="8" t="n"/>
      <c r="AD121" s="9" t="n"/>
      <c r="AE121" s="9" t="n"/>
    </row>
  </sheetData>
  <mergeCells count="18">
    <mergeCell ref="A100:AE100"/>
    <mergeCell ref="A95:AE95"/>
    <mergeCell ref="A26:AE26"/>
    <mergeCell ref="AB1:AC1"/>
    <mergeCell ref="D1:O1"/>
    <mergeCell ref="A1:C1"/>
    <mergeCell ref="P1:AA1"/>
    <mergeCell ref="AD1:AE1"/>
    <mergeCell ref="A72:AE72"/>
    <mergeCell ref="A11:AE11"/>
    <mergeCell ref="A116:AE116"/>
    <mergeCell ref="A47:AE47"/>
    <mergeCell ref="A109:AE109"/>
    <mergeCell ref="A119:AE119"/>
    <mergeCell ref="A17:AE17"/>
    <mergeCell ref="A3:AE3"/>
    <mergeCell ref="A21:AE21"/>
    <mergeCell ref="A69:AE69"/>
  </mergeCells>
  <hyperlinks>
    <hyperlink xmlns:r="http://schemas.openxmlformats.org/officeDocument/2006/relationships" ref="AD4" r:id="rId1"/>
    <hyperlink xmlns:r="http://schemas.openxmlformats.org/officeDocument/2006/relationships" ref="AD5" r:id="rId2"/>
    <hyperlink xmlns:r="http://schemas.openxmlformats.org/officeDocument/2006/relationships" ref="AD6" r:id="rId3"/>
    <hyperlink xmlns:r="http://schemas.openxmlformats.org/officeDocument/2006/relationships" ref="AD7" location="!/step2/PredefinedReport/en-US/1" r:id="rId4"/>
    <hyperlink xmlns:r="http://schemas.openxmlformats.org/officeDocument/2006/relationships" ref="AD8" r:id="rId5"/>
    <hyperlink xmlns:r="http://schemas.openxmlformats.org/officeDocument/2006/relationships" ref="AD9" display="https://kosis.kr/statHtml/statHtml.do?sso=ok&amp;returnurl=https%3A%2F%2Fkosis.kr%3A443%2FstatHtml%2FstatHtml.do%3Flist_id%3DA_3%26obj_var_id%3D%26seqNo%3D%26tblId%3DDT_1B8000G%26vw_cd%3DMT_ETITLE%26language%3Den%26orgId%3D101%26path%3D%252Feng%252FstatisticsList%252FstatisticsListIndex.do%26conn_path%3DMT_ETITLE%26itm_id%3D%26lang_mode%3Den%26scrId%3D%26" r:id="rId6"/>
    <hyperlink xmlns:r="http://schemas.openxmlformats.org/officeDocument/2006/relationships" ref="AD10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10" defaultColWidth="8.83203125" defaultRowHeight="15"/>
  <cols>
    <col width="120" customWidth="1" style="15" min="1" max="1"/>
  </cols>
  <sheetData>
    <row r="1" ht="21" customHeight="1" s="15">
      <c r="A1" s="10" t="inlineStr">
        <is>
          <t>Demoria Research — Birth Tracker input sheet</t>
        </is>
      </c>
    </row>
    <row r="2">
      <c r="A2" s="11" t="n"/>
    </row>
    <row r="3">
      <c r="A3" s="12" t="inlineStr">
        <is>
          <t>Fill in monthly birth counts as national statistical offices publish them. The converter does the rest.</t>
        </is>
      </c>
    </row>
    <row r="4">
      <c r="A4" s="11" t="n"/>
    </row>
    <row r="5" ht="16" customHeight="1" s="15">
      <c r="A5" s="13" t="inlineStr">
        <is>
          <t>MONTHLY (preferred):</t>
        </is>
      </c>
    </row>
    <row r="6">
      <c r="A6" s="11" t="inlineStr">
        <is>
          <t xml:space="preserve">  • Enter each month's births under 2025 and 2026. Enter the SAME months for both years so the % change is like-for-like.</t>
        </is>
      </c>
    </row>
    <row r="7">
      <c r="A7" s="11" t="inlineStr">
        <is>
          <t xml:space="preserve">  • e.g. if 2026 has Jan–Apr, fill Jan–Apr for BOTH 2025 and 2026. The tile then shows "first 4 months, +/- X%".</t>
        </is>
      </c>
    </row>
    <row r="8">
      <c r="A8" s="11" t="inlineStr">
        <is>
          <t xml:space="preserve">  • You don't need all 12 — just the months published so far. Add months as they come out.</t>
        </is>
      </c>
    </row>
    <row r="9">
      <c r="A9" s="11" t="n"/>
    </row>
    <row r="10" ht="16" customHeight="1" s="15">
      <c r="A10" s="13" t="inlineStr">
        <is>
          <t>ANNUAL ONLY (China, India, etc. that publish one yearly figure):</t>
        </is>
      </c>
    </row>
    <row r="11">
      <c r="A11" s="11" t="inlineStr">
        <is>
          <t xml:space="preserve">  • Leave the monthly cells blank and use the FY2025 / FY2026 columns instead.</t>
        </is>
      </c>
    </row>
    <row r="12">
      <c r="A12" s="11" t="n"/>
    </row>
    <row r="13" ht="16" customHeight="1" s="15">
      <c r="A13" s="13" t="inlineStr">
        <is>
          <t>THEN:</t>
        </is>
      </c>
    </row>
    <row r="14">
      <c r="A14" s="11" t="inlineStr">
        <is>
          <t xml:space="preserve">  • Save this file. Run:  python3 _births_from_sheet.py --write</t>
        </is>
      </c>
    </row>
    <row r="15">
      <c r="A15" s="11" t="inlineStr">
        <is>
          <t xml:space="preserve">  • It updates the website data; deploy as usual (cp + git push).</t>
        </is>
      </c>
    </row>
    <row r="16">
      <c r="A16" s="11" t="n"/>
    </row>
    <row r="17">
      <c r="A17" s="11" t="inlineStr">
        <is>
          <t>Leave a country blank and its card stays "awaiting release" — that's fine.</t>
        </is>
      </c>
    </row>
    <row r="18">
      <c r="A18" s="11" t="inlineStr">
        <is>
          <t>Source URL / Notes are for your own record-keeping (and future provenance display).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:A12"/>
    </sheetView>
  </sheetViews>
  <sheetFormatPr baseColWidth="10" defaultRowHeight="15"/>
  <sheetData>
    <row r="1" ht="23" customHeight="1" s="15">
      <c r="A1" s="20" t="n">
        <v>51816</v>
      </c>
    </row>
    <row r="2" ht="23" customHeight="1" s="15">
      <c r="A2" s="20" t="n">
        <v>48256</v>
      </c>
    </row>
    <row r="3" ht="23" customHeight="1" s="15">
      <c r="A3" s="20" t="n">
        <v>50767</v>
      </c>
    </row>
    <row r="4" ht="23" customHeight="1" s="15">
      <c r="A4" s="20" t="n">
        <v>54686</v>
      </c>
    </row>
    <row r="5" ht="23" customHeight="1" s="15">
      <c r="A5" s="20" t="n">
        <v>57896</v>
      </c>
    </row>
    <row r="6" ht="23" customHeight="1" s="15">
      <c r="A6" s="20" t="n">
        <v>55658</v>
      </c>
    </row>
    <row r="7" ht="23" customHeight="1" s="15">
      <c r="A7" s="20" t="n">
        <v>60650</v>
      </c>
    </row>
    <row r="8" ht="23" customHeight="1" s="15">
      <c r="A8" s="20" t="n">
        <v>58976</v>
      </c>
    </row>
    <row r="9" ht="23" customHeight="1" s="15">
      <c r="A9" s="20" t="n">
        <v>57407</v>
      </c>
    </row>
    <row r="10" ht="23" customHeight="1" s="15">
      <c r="A10" s="20" t="n">
        <v>59979</v>
      </c>
    </row>
    <row r="11" ht="23" customHeight="1" s="15">
      <c r="A11" s="20" t="n">
        <v>54047</v>
      </c>
    </row>
    <row r="12" ht="23" customHeight="1" s="15">
      <c r="A12" s="20" t="n">
        <v>61098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2026-06-08T05:11:51Z</dcterms:created>
  <dcterms:modified xmlns:dcterms="http://purl.org/dc/terms/" xmlns:xsi="http://www.w3.org/2001/XMLSchema-instance" xsi:type="dcterms:W3CDTF">2026-06-08T07:47:36Z</dcterms:modified>
  <cp:lastModifiedBy>Harry Nedeljkovic</cp:lastModifiedBy>
</cp:coreProperties>
</file>